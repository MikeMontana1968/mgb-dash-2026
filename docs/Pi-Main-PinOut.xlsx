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m\OneDrive\Desktop\2026\mgb-dash-2026\docs\"/>
    </mc:Choice>
  </mc:AlternateContent>
  <xr:revisionPtr revIDLastSave="0" documentId="13_ncr:1_{9D05BB17-97E8-4E5E-B879-172824459B17}" xr6:coauthVersionLast="47" xr6:coauthVersionMax="47" xr10:uidLastSave="{00000000-0000-0000-0000-000000000000}"/>
  <bookViews>
    <workbookView xWindow="-120" yWindow="-120" windowWidth="29040" windowHeight="15720" tabRatio="875" firstSheet="3" activeTab="11" xr2:uid="{0D42CF08-78C8-4DBE-BF68-6A88223DB0C7}"/>
  </bookViews>
  <sheets>
    <sheet name="ESP32-Roles" sheetId="6" r:id="rId1"/>
    <sheet name="esp32 label" sheetId="11" r:id="rId2"/>
    <sheet name="can-bus-ids used" sheetId="10" r:id="rId3"/>
    <sheet name="CanBusIDs" sheetId="4" r:id="rId4"/>
    <sheet name="ESP32-Mini" sheetId="13" r:id="rId5"/>
    <sheet name="ESP32 BodyStatusWriter" sheetId="12" r:id="rId6"/>
    <sheet name="ESP32 Fuel" sheetId="17" r:id="rId7"/>
    <sheet name="ESP Temp Gauge" sheetId="9" r:id="rId8"/>
    <sheet name="30pin ESP" sheetId="16" r:id="rId9"/>
    <sheet name="YeeKees ESP32 Pinout" sheetId="8" r:id="rId10"/>
    <sheet name="ePaperinout" sheetId="5" r:id="rId11"/>
    <sheet name="Todos" sheetId="14" r:id="rId12"/>
    <sheet name="RJ45-Servos" sheetId="2" r:id="rId13"/>
    <sheet name="Moon Phases" sheetId="3" r:id="rId14"/>
    <sheet name="Pi Pinout" sheetId="1" r:id="rId15"/>
  </sheets>
  <definedNames>
    <definedName name="_xlnm.Print_Area" localSheetId="5">'ESP32 BodyStatusWriter'!$A$3:$U$26</definedName>
    <definedName name="_xlnm.Print_Area" localSheetId="1">'esp32 label'!$U$5:$AA$23</definedName>
    <definedName name="_xlnm.Print_Area" localSheetId="14">'Pi Pinout'!$C$2:$F$22</definedName>
    <definedName name="_xlnm.Print_Area" localSheetId="11">Todos!$A$1:$K$10</definedName>
    <definedName name="_xlnm.Print_Area" localSheetId="9">'YeeKees ESP32 Pinout'!$J$3:$R$22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12" l="1"/>
  <c r="R7" i="12"/>
  <c r="S7" i="12"/>
  <c r="Q8" i="12"/>
  <c r="R8" i="12"/>
  <c r="S8" i="12"/>
  <c r="Q9" i="12"/>
  <c r="R9" i="12"/>
  <c r="S9" i="12"/>
  <c r="Q10" i="12"/>
  <c r="R10" i="12"/>
  <c r="S10" i="12"/>
  <c r="Q11" i="12"/>
  <c r="R11" i="12"/>
  <c r="S11" i="12"/>
  <c r="Q12" i="12"/>
  <c r="R12" i="12"/>
  <c r="S12" i="12"/>
  <c r="Q13" i="12"/>
  <c r="R13" i="12"/>
  <c r="S13" i="12"/>
  <c r="Q14" i="12"/>
  <c r="R14" i="12"/>
  <c r="S14" i="12"/>
  <c r="Q15" i="12"/>
  <c r="R15" i="12"/>
  <c r="S15" i="12"/>
  <c r="Q16" i="12"/>
  <c r="R16" i="12"/>
  <c r="S16" i="12"/>
  <c r="Q17" i="12"/>
  <c r="R17" i="12"/>
  <c r="S17" i="12"/>
  <c r="Q18" i="12"/>
  <c r="R18" i="12"/>
  <c r="S18" i="12"/>
  <c r="Q19" i="12"/>
  <c r="R19" i="12"/>
  <c r="S19" i="12"/>
  <c r="Q20" i="12"/>
  <c r="R20" i="12"/>
  <c r="S20" i="12"/>
  <c r="Q21" i="12"/>
  <c r="R21" i="12"/>
  <c r="S21" i="12"/>
  <c r="Q22" i="12"/>
  <c r="R22" i="12"/>
  <c r="S22" i="12"/>
  <c r="Q23" i="12"/>
  <c r="R23" i="12"/>
  <c r="S23" i="12"/>
  <c r="Q24" i="12"/>
  <c r="R24" i="12"/>
  <c r="S24" i="12"/>
  <c r="S6" i="12"/>
  <c r="R6" i="12"/>
  <c r="Q6" i="12"/>
  <c r="M7" i="12"/>
  <c r="N7" i="12"/>
  <c r="O7" i="12"/>
  <c r="M8" i="12"/>
  <c r="N8" i="12"/>
  <c r="O8" i="12"/>
  <c r="M9" i="12"/>
  <c r="N9" i="12"/>
  <c r="O9" i="12"/>
  <c r="M10" i="12"/>
  <c r="N10" i="12"/>
  <c r="O10" i="12"/>
  <c r="M11" i="12"/>
  <c r="N11" i="12"/>
  <c r="O11" i="12"/>
  <c r="M12" i="12"/>
  <c r="N12" i="12"/>
  <c r="O12" i="12"/>
  <c r="M13" i="12"/>
  <c r="N13" i="12"/>
  <c r="O13" i="12"/>
  <c r="M14" i="12"/>
  <c r="N14" i="12"/>
  <c r="O14" i="12"/>
  <c r="M15" i="12"/>
  <c r="N15" i="12"/>
  <c r="O15" i="12"/>
  <c r="M16" i="12"/>
  <c r="N16" i="12"/>
  <c r="O16" i="12"/>
  <c r="M17" i="12"/>
  <c r="N17" i="12"/>
  <c r="O17" i="12"/>
  <c r="M18" i="12"/>
  <c r="N18" i="12"/>
  <c r="O18" i="12"/>
  <c r="M19" i="12"/>
  <c r="N19" i="12"/>
  <c r="O19" i="12"/>
  <c r="M20" i="12"/>
  <c r="N20" i="12"/>
  <c r="O20" i="12"/>
  <c r="M21" i="12"/>
  <c r="N21" i="12"/>
  <c r="O21" i="12"/>
  <c r="M22" i="12"/>
  <c r="N22" i="12"/>
  <c r="O22" i="12"/>
  <c r="M23" i="12"/>
  <c r="N23" i="12"/>
  <c r="O23" i="12"/>
  <c r="M24" i="12"/>
  <c r="N24" i="12"/>
  <c r="O24" i="12"/>
  <c r="O6" i="12"/>
  <c r="N6" i="12"/>
  <c r="M6" i="12"/>
  <c r="C3" i="3"/>
  <c r="C4" i="3" s="1"/>
  <c r="D3" i="3" l="1"/>
  <c r="D4" i="3" l="1"/>
  <c r="E3" i="3"/>
  <c r="F3" i="3" l="1"/>
  <c r="E4" i="3"/>
  <c r="G3" i="3" l="1"/>
  <c r="F4" i="3"/>
  <c r="H3" i="3" l="1"/>
  <c r="G4" i="3"/>
  <c r="I3" i="3" l="1"/>
  <c r="H4" i="3"/>
  <c r="J3" i="3" l="1"/>
  <c r="I4" i="3"/>
  <c r="K3" i="3" l="1"/>
  <c r="J4" i="3"/>
  <c r="L3" i="3" l="1"/>
  <c r="K4" i="3"/>
  <c r="M3" i="3" l="1"/>
  <c r="L4" i="3"/>
  <c r="N3" i="3" l="1"/>
  <c r="M4" i="3"/>
  <c r="O3" i="3" l="1"/>
  <c r="N4" i="3"/>
  <c r="P3" i="3" l="1"/>
  <c r="O4" i="3"/>
  <c r="Q3" i="3" l="1"/>
  <c r="P4" i="3"/>
  <c r="R3" i="3" l="1"/>
  <c r="Q4" i="3"/>
  <c r="S3" i="3" l="1"/>
  <c r="R4" i="3"/>
  <c r="T3" i="3" l="1"/>
  <c r="S4" i="3"/>
  <c r="U3" i="3" l="1"/>
  <c r="T4" i="3"/>
  <c r="V3" i="3" l="1"/>
  <c r="U4" i="3"/>
  <c r="W3" i="3" l="1"/>
  <c r="V4" i="3"/>
  <c r="X3" i="3" l="1"/>
  <c r="W4" i="3"/>
  <c r="Y3" i="3" l="1"/>
  <c r="X4" i="3"/>
  <c r="Z3" i="3" l="1"/>
  <c r="Y4" i="3"/>
  <c r="AA3" i="3" l="1"/>
  <c r="Z4" i="3"/>
  <c r="AB3" i="3" l="1"/>
  <c r="AA4" i="3"/>
  <c r="AC3" i="3" l="1"/>
  <c r="AB4" i="3"/>
  <c r="AD3" i="3" l="1"/>
  <c r="AC4" i="3"/>
  <c r="AE3" i="3" l="1"/>
  <c r="AD4" i="3"/>
  <c r="AF3" i="3" l="1"/>
  <c r="AF4" i="3" s="1"/>
  <c r="AE4" i="3"/>
</calcChain>
</file>

<file path=xl/sharedStrings.xml><?xml version="1.0" encoding="utf-8"?>
<sst xmlns="http://schemas.openxmlformats.org/spreadsheetml/2006/main" count="2334" uniqueCount="674">
  <si>
    <t>5v</t>
  </si>
  <si>
    <t>Ground</t>
  </si>
  <si>
    <t>GPIO-14 UART TX</t>
  </si>
  <si>
    <t>GPIO-15 UART RX</t>
  </si>
  <si>
    <t>GPIO-18 PCM CLK</t>
  </si>
  <si>
    <t>GPIO-23</t>
  </si>
  <si>
    <t>GPIO-24</t>
  </si>
  <si>
    <t>GPIO-25</t>
  </si>
  <si>
    <t>GPIO-8 SPIO-CE0</t>
  </si>
  <si>
    <t>GPIO-7 SPIO-CE1</t>
  </si>
  <si>
    <t>GPIO-1 EEPROM SCL</t>
  </si>
  <si>
    <t>GPIO-12</t>
  </si>
  <si>
    <t>GPIO-16</t>
  </si>
  <si>
    <t>GPIO-20 PCM DIN</t>
  </si>
  <si>
    <t>GPIO-21 PCM DOUT</t>
  </si>
  <si>
    <t>3v</t>
  </si>
  <si>
    <t>GPIO02 I2C1 SDA</t>
  </si>
  <si>
    <t>GPIO-3 I2C1 SCL</t>
  </si>
  <si>
    <t>GPIO-4 GPCLK0</t>
  </si>
  <si>
    <t>GPIO-17</t>
  </si>
  <si>
    <t>GPIO-27</t>
  </si>
  <si>
    <t>GPIO-22</t>
  </si>
  <si>
    <t>GPIO-10 SPIO MOSI</t>
  </si>
  <si>
    <t>GPIO9 SPIO MISO</t>
  </si>
  <si>
    <t>GPIO-11 SPIO CLK</t>
  </si>
  <si>
    <t>GPIO09 EEPROM SDA</t>
  </si>
  <si>
    <t>GPIO-5</t>
  </si>
  <si>
    <t>GPIO-6</t>
  </si>
  <si>
    <t>GPIO-13 PWM1</t>
  </si>
  <si>
    <t>GPIO-19 PCM FS</t>
  </si>
  <si>
    <t>GPIO 26</t>
  </si>
  <si>
    <t>BROWN</t>
  </si>
  <si>
    <t>brown</t>
  </si>
  <si>
    <t>br/wh</t>
  </si>
  <si>
    <t>green</t>
  </si>
  <si>
    <t>gr/wht</t>
  </si>
  <si>
    <t>orng</t>
  </si>
  <si>
    <t>or/wht</t>
  </si>
  <si>
    <t>blue</t>
  </si>
  <si>
    <t>bl/wte</t>
  </si>
  <si>
    <t>Gnd</t>
  </si>
  <si>
    <t>Pwm</t>
  </si>
  <si>
    <t>+12v</t>
  </si>
  <si>
    <t>+5v</t>
  </si>
  <si>
    <t>GPS GRN</t>
  </si>
  <si>
    <t>GPS ORNG</t>
  </si>
  <si>
    <t>gnd</t>
  </si>
  <si>
    <t>LCD WT gnd</t>
  </si>
  <si>
    <t>PI GPS</t>
  </si>
  <si>
    <t>Servo SCL</t>
  </si>
  <si>
    <t>Servo SDA</t>
  </si>
  <si>
    <t>A</t>
  </si>
  <si>
    <t>Days</t>
  </si>
  <si>
    <t>Ascii</t>
  </si>
  <si>
    <t>TTF Font</t>
  </si>
  <si>
    <t>LCD Wht Vcc</t>
  </si>
  <si>
    <t>LCD Pur DIN</t>
  </si>
  <si>
    <t>LCD Clk Or</t>
  </si>
  <si>
    <t>LCD GREY Rst</t>
  </si>
  <si>
    <t>LCD BLUE BL</t>
  </si>
  <si>
    <t>LCD Yel CS</t>
  </si>
  <si>
    <t>msgID</t>
  </si>
  <si>
    <t>time between msgs</t>
  </si>
  <si>
    <t>Byte</t>
  </si>
  <si>
    <t>Bits</t>
  </si>
  <si>
    <t>Description (Unofficial)</t>
  </si>
  <si>
    <t>Byte Scale/Sign</t>
  </si>
  <si>
    <t>Discussion</t>
  </si>
  <si>
    <t>Possible Controler</t>
  </si>
  <si>
    <t>11a</t>
  </si>
  <si>
    <t>10ms</t>
  </si>
  <si>
    <t>:</t>
  </si>
  <si>
    <t>Only present during drive - not during charge</t>
  </si>
  <si>
    <t>01,0d,11,4d,4e (MSBits probably selected gear: 4 for D/B, 3 for N, 2 for R)</t>
  </si>
  <si>
    <t>Shift control module (2011/2012) VCM (2013+)</t>
  </si>
  <si>
    <t>40,80 (40 when car is ON, 80 when car is OFF)</t>
  </si>
  <si>
    <t>00,04,80</t>
  </si>
  <si>
    <t>55,aa</t>
  </si>
  <si>
    <t>00,40,80,c0 uniform</t>
  </si>
  <si>
    <t>Mux channel for byte 7</t>
  </si>
  <si>
    <t>00..03 uniform</t>
  </si>
  <si>
    <t>Activity only during startup, then holds a constant value for each channel</t>
  </si>
  <si>
    <t>03..fc gaps</t>
  </si>
  <si>
    <t>This message is needed by the inverter to keep it alive</t>
  </si>
  <si>
    <t>1d4</t>
  </si>
  <si>
    <t>bf-f7</t>
  </si>
  <si>
    <t>Might be VCM to inverter since commaned torque would be less noisy</t>
  </si>
  <si>
    <t>07..51</t>
  </si>
  <si>
    <t>Motor Amps? Requested Torque?
These two are a Torque command, signed 16-bit value, MSB first</t>
  </si>
  <si>
    <t>2's comp</t>
  </si>
  <si>
    <t>Less noisy than the 1da signal</t>
  </si>
  <si>
    <t>00..02;10,20..f0</t>
  </si>
  <si>
    <t>[0,4,8,c][0,3,5,7]</t>
  </si>
  <si>
    <t>06,40,44,46</t>
  </si>
  <si>
    <t>[0,2,3,6..b]0</t>
  </si>
  <si>
    <t>CRC byte for msg. Poly is 0x85; left shift; D0 first; 64 shifts padding with 0's on last 8</t>
  </si>
  <si>
    <t>00..ff</t>
  </si>
  <si>
    <t>This is message sent to the inverter to control torque Commands</t>
  </si>
  <si>
    <t>interesting activity during drive - none during charge</t>
  </si>
  <si>
    <t>1da</t>
  </si>
  <si>
    <t>Inverter voltage 2V/bit</t>
  </si>
  <si>
    <t>01..b9 follows BVS until near end of six2dead drive (turtle?) or end of charging --&gt; perhaps Battery Available Power Signal or inverter voltage?</t>
  </si>
  <si>
    <t>Inverter</t>
  </si>
  <si>
    <t>00,42..64</t>
  </si>
  <si>
    <t>00,08,18,19,1a,1f,20</t>
  </si>
  <si>
    <t>Motor Amps</t>
  </si>
  <si>
    <t>Motor Amps * Motor Volts is really close to pack watts*40
Maybe 1lsb=0.5A</t>
  </si>
  <si>
    <t>Motor Speed</t>
  </si>
  <si>
    <t>16 bits; 1 LSB = 0.5rpm? Stays at zero when applying torque with brake on so not likely volts.</t>
  </si>
  <si>
    <t>Counter</t>
  </si>
  <si>
    <t>00..03 uniform, 80..83 uniform,
Think its a error state, this value &amp; wih 0xb0 seems to give a state code</t>
  </si>
  <si>
    <t>CRC</t>
  </si>
  <si>
    <t>1db</t>
  </si>
  <si>
    <t>BCS</t>
  </si>
  <si>
    <t>Battery Current Signal</t>
  </si>
  <si>
    <t>11 bits; 1 LSB = 0.5A</t>
  </si>
  <si>
    <t>Lithium Battery Controler aka "BMS"</t>
  </si>
  <si>
    <t>BVS</t>
  </si>
  <si>
    <t>Battery Voltage Signal</t>
  </si>
  <si>
    <t>int</t>
  </si>
  <si>
    <t>10 bits; 1 LSB = 0.5V</t>
  </si>
  <si>
    <t>2a</t>
  </si>
  <si>
    <t>might be identifyer (mux) for byte 7 (unless that's a CRC)</t>
  </si>
  <si>
    <t>Might be a CRC byte?</t>
  </si>
  <si>
    <t>1dc</t>
  </si>
  <si>
    <t>AVAILABLE HV BAT PWR; 1kW/bit</t>
  </si>
  <si>
    <t>6e=110kW, less is seen below LBW, 31=51kW observed near turtle</t>
  </si>
  <si>
    <t>Looks like this is maximum current during charge?</t>
  </si>
  <si>
    <t>01..11</t>
  </si>
  <si>
    <t>[0-f]f</t>
  </si>
  <si>
    <t>This value changes during QC</t>
  </si>
  <si>
    <t>fd</t>
  </si>
  <si>
    <t>01,05,08,0c uniform</t>
  </si>
  <si>
    <t>08,38,c0,dc uniform</t>
  </si>
  <si>
    <t>c6,cb,cd,dc uniform</t>
  </si>
  <si>
    <t>00..ff; activity stops for large gap in middle of drive</t>
  </si>
  <si>
    <t>LBC per Turbo3 work on isolating and documenting leaf battery systems</t>
  </si>
  <si>
    <t>1f2</t>
  </si>
  <si>
    <t>00,08,10,60,68; mostly 10</t>
  </si>
  <si>
    <t>VCM</t>
  </si>
  <si>
    <t>Commanded Charge Power?</t>
  </si>
  <si>
    <t>64 drive, 84-64 charge (tapers at end)</t>
  </si>
  <si>
    <t>00: ready,60:?? 20:charging</t>
  </si>
  <si>
    <t>VCM State</t>
  </si>
  <si>
    <t>11,12,14,18,1e,2a,32,34,3f; active at start of drive only</t>
  </si>
  <si>
    <t>looks like a mux</t>
  </si>
  <si>
    <t>doesn't look like a CRC if you use a filter using byte 6, steady values</t>
  </si>
  <si>
    <t>0[0..f]</t>
  </si>
  <si>
    <t>20ms</t>
  </si>
  <si>
    <t>Left wheel speed sensor; 16 bits</t>
  </si>
  <si>
    <t>00..47</t>
  </si>
  <si>
    <t>VCM relay of ABS 284/285 Messages to Shift Sensor (see LAN-35) SS prevents parking when moving, reversing while going above 7mph, etc. My guess is that the thresholds dictate that there is no exceedence for any one wheel</t>
  </si>
  <si>
    <t>Right wheel speed sensor; 16 bits</t>
  </si>
  <si>
    <t>??? speed sensor. Maybe average of both rear?</t>
  </si>
  <si>
    <t>00..22</t>
  </si>
  <si>
    <t>distance traveled? (d/dt=0 when rpm=0)</t>
  </si>
  <si>
    <t>00..ff (wraps ~360 times in a 25 mile drive)</t>
  </si>
  <si>
    <t>Not sure if left=left front, left rear, or avg(front,rear)</t>
  </si>
  <si>
    <t>100ms</t>
  </si>
  <si>
    <t>02,03</t>
  </si>
  <si>
    <t>On Board Charger or perhaps just QC daughter card for 2011-2012's</t>
  </si>
  <si>
    <t>04 drive/AC charge, 84 QC</t>
  </si>
  <si>
    <t>10 drive, 13 qc, 22 end qc,</t>
  </si>
  <si>
    <t>QC Voltage</t>
  </si>
  <si>
    <t>QC Commanded Amperage</t>
  </si>
  <si>
    <t>05,07,16,17,27,28,3a,8d,9e,ad,b0</t>
  </si>
  <si>
    <t>This message is not present in 2013 and newer cars</t>
  </si>
  <si>
    <t>50a</t>
  </si>
  <si>
    <t>103ms</t>
  </si>
  <si>
    <t>04,84,85</t>
  </si>
  <si>
    <t>02,13,33,40,42,53,72,73</t>
  </si>
  <si>
    <t>00,a0</t>
  </si>
  <si>
    <t>Some sort of temperature??</t>
  </si>
  <si>
    <t>2c-44;</t>
  </si>
  <si>
    <t>00,80</t>
  </si>
  <si>
    <t>a0</t>
  </si>
  <si>
    <t>50b</t>
  </si>
  <si>
    <t>00,02,06 (for 2013: also 0x04)</t>
  </si>
  <si>
    <t>c0 (for 2013: also 0x00)</t>
  </si>
  <si>
    <t>00,60 (for 2013: 0x00 only)</t>
  </si>
  <si>
    <t>Active only during drive, data mostly static,
Its need for a keep alive on inverter so it does not shut down</t>
  </si>
  <si>
    <t>50c</t>
  </si>
  <si>
    <t>5d,b2</t>
  </si>
  <si>
    <t>0d,31,5f,63,9a,a6,c8,f4</t>
  </si>
  <si>
    <t>No change during charge and drive.</t>
  </si>
  <si>
    <t>54a</t>
  </si>
  <si>
    <t>12,3c- CC Off; a0,da- CC On
Think its inverter temp</t>
  </si>
  <si>
    <t>AC Auto Amp</t>
  </si>
  <si>
    <t>00
This this is a motor temp</t>
  </si>
  <si>
    <t>06,0a,0b,0f</t>
  </si>
  <si>
    <t>Climate control set point (MY2011,2012)</t>
  </si>
  <si>
    <t>00,39,52,53,54</t>
  </si>
  <si>
    <t>4f,8c-90</t>
  </si>
  <si>
    <t>54b</t>
  </si>
  <si>
    <t>CC status?</t>
  </si>
  <si>
    <t>00 CC on, 01 CC off (2013: 0x10 or 0x11)</t>
  </si>
  <si>
    <t>08,76,78</t>
  </si>
  <si>
    <t>Vent mode (face/feet/defrost)</t>
  </si>
  <si>
    <t>80 CC off, 88 face only, 90 face/feet, 98 feet only, A0 feet/def, A8 def only</t>
  </si>
  <si>
    <t>Vent mode (recerculating/fresh air</t>
  </si>
  <si>
    <t>09 Rec, 12 vent, 92 def</t>
  </si>
  <si>
    <t>Fan speed (1-7)</t>
  </si>
  <si>
    <t>Shouldn't this be bits 7:3?</t>
  </si>
  <si>
    <t>Alternates after every CC button press, probably to alert A/V to display CC info</t>
  </si>
  <si>
    <t>00,01</t>
  </si>
  <si>
    <t>54c</t>
  </si>
  <si>
    <t>AC evaporator temperature 0.25 C/bit?</t>
  </si>
  <si>
    <t>drops with ac on (after short lag). No change with heater on</t>
  </si>
  <si>
    <t>66 CC on, ff CC off</t>
  </si>
  <si>
    <t>00,40,c0</t>
  </si>
  <si>
    <t>Fan voltage, 0.05 V/bit. Commanded fan speed is proportional to Voltage</t>
  </si>
  <si>
    <t>[4..8,f][0,8]</t>
  </si>
  <si>
    <t>Outside ambient (+56) in F, used for the "eyebrow" display on dash</t>
  </si>
  <si>
    <t>0x92=90F;0x86=79F (90F &amp; 79F read from dash)</t>
  </si>
  <si>
    <t>54f</t>
  </si>
  <si>
    <t>Appears to be interior intake temp</t>
  </si>
  <si>
    <t>4c..50 (2013: sometimes is &lt;0x20 when the temp is definitely higher)</t>
  </si>
  <si>
    <t>AC Power Consumption? Might be 50W/bit?</t>
  </si>
  <si>
    <t>(0-20) Rises to a steady value with ac on. Off immediately with ac off. No change with heater on</t>
  </si>
  <si>
    <t>07,0b</t>
  </si>
  <si>
    <t>Status bits of AC Auto Amp</t>
  </si>
  <si>
    <t>[0,4,8,c][0,1,2] drive; [0,4,8,c]0 uniform charge</t>
  </si>
  <si>
    <t>PTC heater power consumption Watts? (300W/bit?)</t>
  </si>
  <si>
    <t>(0-14) Goes up slowly with heater on; no change with ac on</t>
  </si>
  <si>
    <t>Appears to track ambient in C</t>
  </si>
  <si>
    <t>8E-96 drive , 00-18 charge (during high 80s F)</t>
  </si>
  <si>
    <t>Probably "COMP USE PERMIT POWER" or how much VCM is willing to give Climate control</t>
  </si>
  <si>
    <t>???</t>
  </si>
  <si>
    <t>3e..2a six2dead; 36..42 100% charge</t>
  </si>
  <si>
    <t>Probably not anything related to cell voltage here, perhaps just VCM cutting out climate during your turtle event, TT</t>
  </si>
  <si>
    <t>declined on six2dead drive during which ambient temp rose; increased during charge --&gt; battery voltage? 0,1,2 (and not 3) during long drive suggest select worst cell?</t>
  </si>
  <si>
    <t>55a</t>
  </si>
  <si>
    <t>0x00</t>
  </si>
  <si>
    <t>Inverter, reference TMS-31</t>
  </si>
  <si>
    <t>Inverter communications board temp. 0.5c per bit</t>
  </si>
  <si>
    <t>4a..5a drive; 48..5a charge; battery?</t>
  </si>
  <si>
    <t>IGBT? Temperature</t>
  </si>
  <si>
    <t>3d..60 drive; 45..56 charge; controller?</t>
  </si>
  <si>
    <t>Temperature only active during drive (IGBT driver board?)</t>
  </si>
  <si>
    <t>5f..8d drive; 5f charge; motor?</t>
  </si>
  <si>
    <t>Motor Temperature</t>
  </si>
  <si>
    <t>4b..4c drive; 48..5c charge; charger? temperature?</t>
  </si>
  <si>
    <t>5b drive; 3a,5b,72,82,83 charge</t>
  </si>
  <si>
    <t>08,28,48,c8</t>
  </si>
  <si>
    <t>All seem to be 0.5c per bit. Byte 1 matches up with independent temp measurements near inverter case using Brusa and external thermistor</t>
  </si>
  <si>
    <t>motor, controller, charger, battery temperatures?</t>
  </si>
  <si>
    <t>55b</t>
  </si>
  <si>
    <t>SOC</t>
  </si>
  <si>
    <t>59..8c</t>
  </si>
  <si>
    <t>Probably Lithium Battery Controller/"BMS"</t>
  </si>
  <si>
    <t>[0,4,8,c]0</t>
  </si>
  <si>
    <t>c8..ff</t>
  </si>
  <si>
    <t>1[0..3]</t>
  </si>
  <si>
    <t>56e</t>
  </si>
  <si>
    <t>CarWings Status</t>
  </si>
  <si>
    <t>46 status; 86 idle; 4E CC on; 56 CC off; 66 remote charge start;</t>
  </si>
  <si>
    <t>TCU</t>
  </si>
  <si>
    <t>This message is only present in SV and SL models</t>
  </si>
  <si>
    <t>5a9</t>
  </si>
  <si>
    <t>512ms</t>
  </si>
  <si>
    <t>Active during drive, FF charge</t>
  </si>
  <si>
    <t>Probably VCM to TCU for carwings (engineering data)</t>
  </si>
  <si>
    <t>Seems to be related to SOC but not LTI</t>
  </si>
  <si>
    <t>New message appeared after recall/update in March 2012</t>
  </si>
  <si>
    <t>5b9</t>
  </si>
  <si>
    <t>AFB</t>
  </si>
  <si>
    <t>Active Fuel Bars</t>
  </si>
  <si>
    <t>18,19,20,28,30</t>
  </si>
  <si>
    <t>VCM to TCU for carwings</t>
  </si>
  <si>
    <t>CMR</t>
  </si>
  <si>
    <t>Charge Minutes Remaining</t>
  </si>
  <si>
    <t>0e,b4,d2,f0</t>
  </si>
  <si>
    <t>62,63,64</t>
  </si>
  <si>
    <t>38 before, ff during, 0e after 80% charge</t>
  </si>
  <si>
    <t>0c,38,48,84,c0,d0,fc; #5min charging?</t>
  </si>
  <si>
    <t>5bc</t>
  </si>
  <si>
    <t>500ms</t>
  </si>
  <si>
    <t>ACS</t>
  </si>
  <si>
    <t>Available Charge Signal (AKA "gids")</t>
  </si>
  <si>
    <t>14..21;10 bits, 0-281 for most vehicles; 1 LSB = 65-85WH</t>
  </si>
  <si>
    <t>000..003</t>
  </si>
  <si>
    <t>04,05,06,07,0c,25,[2,4,6,8,a,c,e][6,7,c]</t>
  </si>
  <si>
    <t>This looks like a temperature reading...</t>
  </si>
  <si>
    <t>mux?</t>
  </si>
  <si>
    <t>04..06</t>
  </si>
  <si>
    <t>1f..24,40..43</t>
  </si>
  <si>
    <t>[0,1..f][0,2..e],ff</t>
  </si>
  <si>
    <t>OBC- On Board Charger (2011-2012 only)</t>
  </si>
  <si>
    <t>Line voltage?</t>
  </si>
  <si>
    <t>00 - possible charging indicator (95-95 when charging?)</t>
  </si>
  <si>
    <t>Charger HV bus voltage. bit*1.25 +182 is very close but not quite right</t>
  </si>
  <si>
    <t>Battery Voltage as seen by the OBC</t>
  </si>
  <si>
    <t>Status bits of various charging components</t>
  </si>
  <si>
    <t>B0 when QC; 30 when done QC. 60 when L2 charging MSB=QC charging? MSB-1=L2 charging?</t>
  </si>
  <si>
    <t>QC status</t>
  </si>
  <si>
    <t>00 during drive or L1/L2 charging, 03 during QC. 02 start up of qc</t>
  </si>
  <si>
    <t>Charger Output Current (0x10=2A L1, 0x40=8A L2, 0x08 observed during startup)</t>
  </si>
  <si>
    <t>09,1a,24,2b,3b,3c - possible charging indicator?</t>
  </si>
  <si>
    <t>5c0</t>
  </si>
  <si>
    <t>?</t>
  </si>
  <si>
    <t>40,80,c0</t>
  </si>
  <si>
    <t>Lithium Battery Controller/"BMS"</t>
  </si>
  <si>
    <t>9c,9e,a0</t>
  </si>
  <si>
    <t>linear positive ramp up during charge and negative ramp down during discharge. Starts from 00 regardless of initial charge level. Charging time?</t>
  </si>
  <si>
    <t>2's comp?</t>
  </si>
  <si>
    <t>00,ed..ff; (small negative number?)</t>
  </si>
  <si>
    <t>a4 for TT, I have 7C here</t>
  </si>
  <si>
    <t>0c,c8,cc</t>
  </si>
  <si>
    <t>00 for TT (?) I have 1B,1C,1D,1E,1F here</t>
  </si>
  <si>
    <t>68c</t>
  </si>
  <si>
    <t>REQ only</t>
  </si>
  <si>
    <t>Always 0x00, only sent during carwings request</t>
  </si>
  <si>
    <t>VCM Wake up Signal from TCU. '11 and '12 models also have a logic line from TCU to VCM. '13+ just use this message to wake up VCM</t>
  </si>
  <si>
    <t>GND</t>
  </si>
  <si>
    <t>MOSI</t>
  </si>
  <si>
    <t>CS</t>
  </si>
  <si>
    <t>DC</t>
  </si>
  <si>
    <t>Brown</t>
  </si>
  <si>
    <t>Orange</t>
  </si>
  <si>
    <t>Yellow</t>
  </si>
  <si>
    <t>Temp Guage</t>
  </si>
  <si>
    <t>Fuel Guage</t>
  </si>
  <si>
    <t>Amps Guage</t>
  </si>
  <si>
    <t>Peristant eInk</t>
  </si>
  <si>
    <t>SensorPublisher</t>
  </si>
  <si>
    <t>Front Ext Lights</t>
  </si>
  <si>
    <t>Rear Ext Lights</t>
  </si>
  <si>
    <t>Temp</t>
  </si>
  <si>
    <t>Amps</t>
  </si>
  <si>
    <t>Time/Day</t>
  </si>
  <si>
    <t>MPH</t>
  </si>
  <si>
    <t>Brake</t>
  </si>
  <si>
    <t>Reverse</t>
  </si>
  <si>
    <t>SoC</t>
  </si>
  <si>
    <t>isCharging</t>
  </si>
  <si>
    <t>RPM</t>
  </si>
  <si>
    <t>Pi Main Display</t>
  </si>
  <si>
    <t>GPS Messages</t>
  </si>
  <si>
    <t>Run Lights</t>
  </si>
  <si>
    <t>Head Lights</t>
  </si>
  <si>
    <t>Lturn Light</t>
  </si>
  <si>
    <t>Rturn Light</t>
  </si>
  <si>
    <t>x</t>
  </si>
  <si>
    <t>Pi GPS Module</t>
  </si>
  <si>
    <t>w</t>
  </si>
  <si>
    <t>r</t>
  </si>
  <si>
    <t>ThunderStruck</t>
  </si>
  <si>
    <t>Regen</t>
  </si>
  <si>
    <t>Status</t>
  </si>
  <si>
    <t xml:space="preserve">r </t>
  </si>
  <si>
    <t>LEAF Messages</t>
  </si>
  <si>
    <t>Key</t>
  </si>
  <si>
    <t>0001</t>
  </si>
  <si>
    <t>Off</t>
  </si>
  <si>
    <t>On</t>
  </si>
  <si>
    <t>Run</t>
  </si>
  <si>
    <t>Start</t>
  </si>
  <si>
    <t>0000</t>
  </si>
  <si>
    <t>0010</t>
  </si>
  <si>
    <t>0100</t>
  </si>
  <si>
    <t>Lights</t>
  </si>
  <si>
    <t>Headlights</t>
  </si>
  <si>
    <t>HiBeam</t>
  </si>
  <si>
    <t>Left</t>
  </si>
  <si>
    <t>Right</t>
  </si>
  <si>
    <t>1-0000</t>
  </si>
  <si>
    <t>1-0001</t>
  </si>
  <si>
    <t>1-0010</t>
  </si>
  <si>
    <t>1-0100</t>
  </si>
  <si>
    <t>Hi Beam</t>
  </si>
  <si>
    <t>Throttle</t>
  </si>
  <si>
    <t>TJA1050</t>
  </si>
  <si>
    <t>WLEDS</t>
  </si>
  <si>
    <t>Ring</t>
  </si>
  <si>
    <t>String</t>
  </si>
  <si>
    <t>eInk</t>
  </si>
  <si>
    <t>x ?</t>
  </si>
  <si>
    <t>Key Pwr</t>
  </si>
  <si>
    <t>Batt</t>
  </si>
  <si>
    <t>Gear</t>
  </si>
  <si>
    <t>off</t>
  </si>
  <si>
    <t>Extended Sensor Messages</t>
  </si>
  <si>
    <t>Air Temp</t>
  </si>
  <si>
    <t>Baro</t>
  </si>
  <si>
    <t>Humi</t>
  </si>
  <si>
    <t>x,y,z angle</t>
  </si>
  <si>
    <t>x,y,z, change</t>
  </si>
  <si>
    <t>GPIO16</t>
  </si>
  <si>
    <t>Busy</t>
  </si>
  <si>
    <t>Reset</t>
  </si>
  <si>
    <t>Purple</t>
  </si>
  <si>
    <t>White</t>
  </si>
  <si>
    <t>Green</t>
  </si>
  <si>
    <t>Blue</t>
  </si>
  <si>
    <t>GPIO13</t>
  </si>
  <si>
    <t>GPIO12</t>
  </si>
  <si>
    <t>GPIO14</t>
  </si>
  <si>
    <t>GPIO27</t>
  </si>
  <si>
    <t>GPIO18</t>
  </si>
  <si>
    <t>GPIO23</t>
  </si>
  <si>
    <t>3.3v</t>
  </si>
  <si>
    <t>reset</t>
  </si>
  <si>
    <t>gpio36</t>
  </si>
  <si>
    <t>gpio39</t>
  </si>
  <si>
    <t>gpio34</t>
  </si>
  <si>
    <t>gpio35</t>
  </si>
  <si>
    <t>gpio32</t>
  </si>
  <si>
    <t>gpio33</t>
  </si>
  <si>
    <t>gpio25</t>
  </si>
  <si>
    <t>gpio26</t>
  </si>
  <si>
    <t>gpio27</t>
  </si>
  <si>
    <t>gpio14</t>
  </si>
  <si>
    <t>gpio12</t>
  </si>
  <si>
    <t>gpio13</t>
  </si>
  <si>
    <t>gpio 9</t>
  </si>
  <si>
    <t>gpio10</t>
  </si>
  <si>
    <t>gpio11</t>
  </si>
  <si>
    <t>gpio23</t>
  </si>
  <si>
    <t>gpio22</t>
  </si>
  <si>
    <t>gpio 1</t>
  </si>
  <si>
    <t>gpio 3</t>
  </si>
  <si>
    <t>gpio21</t>
  </si>
  <si>
    <t>gpio19</t>
  </si>
  <si>
    <t>gpio18</t>
  </si>
  <si>
    <t>gpio 5</t>
  </si>
  <si>
    <t>gpio17</t>
  </si>
  <si>
    <t>gpio16</t>
  </si>
  <si>
    <t>gpio 4</t>
  </si>
  <si>
    <t>gpio 0</t>
  </si>
  <si>
    <t>gpio 2</t>
  </si>
  <si>
    <t>gpio15</t>
  </si>
  <si>
    <t>gpio 8</t>
  </si>
  <si>
    <t>gpio 7</t>
  </si>
  <si>
    <t>gpio 6</t>
  </si>
  <si>
    <t>USB</t>
  </si>
  <si>
    <t>Wifi Ant</t>
  </si>
  <si>
    <t>YeeKees ESP32 Pinout</t>
  </si>
  <si>
    <t>GPIO 6</t>
  </si>
  <si>
    <t>GPIO 7</t>
  </si>
  <si>
    <t>GPIO 8</t>
  </si>
  <si>
    <t>GPIO15</t>
  </si>
  <si>
    <t>GPIO 2</t>
  </si>
  <si>
    <t>GPIO 0</t>
  </si>
  <si>
    <t>GPIO 4</t>
  </si>
  <si>
    <t>GPIO17</t>
  </si>
  <si>
    <t>GPIO 5</t>
  </si>
  <si>
    <t>GPIO19</t>
  </si>
  <si>
    <t>GPIO21</t>
  </si>
  <si>
    <t>GPIO 3</t>
  </si>
  <si>
    <t>GPIO 1</t>
  </si>
  <si>
    <t>GPIO22</t>
  </si>
  <si>
    <t>5V!</t>
  </si>
  <si>
    <t>GPIO11</t>
  </si>
  <si>
    <t>GPIO10</t>
  </si>
  <si>
    <t>GPIO 9</t>
  </si>
  <si>
    <t>GPIO26</t>
  </si>
  <si>
    <t>GPIO25</t>
  </si>
  <si>
    <t>GPIO33</t>
  </si>
  <si>
    <t>GPIO32</t>
  </si>
  <si>
    <t>GPIO35</t>
  </si>
  <si>
    <t>GPIO34</t>
  </si>
  <si>
    <t>GPIO39</t>
  </si>
  <si>
    <t>GPIO36</t>
  </si>
  <si>
    <t>RESET</t>
  </si>
  <si>
    <t>3.3V!</t>
  </si>
  <si>
    <t>WIFI</t>
  </si>
  <si>
    <t>DIN/SDI</t>
  </si>
  <si>
    <t>CLK/SLC</t>
  </si>
  <si>
    <t>1st</t>
  </si>
  <si>
    <t>2nd</t>
  </si>
  <si>
    <t>3rd</t>
  </si>
  <si>
    <t>4th</t>
  </si>
  <si>
    <t>5th</t>
  </si>
  <si>
    <t>6th</t>
  </si>
  <si>
    <t>7th</t>
  </si>
  <si>
    <t>8th</t>
  </si>
  <si>
    <t>9nt</t>
  </si>
  <si>
    <t>10th</t>
  </si>
  <si>
    <t>11th</t>
  </si>
  <si>
    <t>12th</t>
  </si>
  <si>
    <t>13th</t>
  </si>
  <si>
    <t>14th</t>
  </si>
  <si>
    <t>15th</t>
  </si>
  <si>
    <t>16th</t>
  </si>
  <si>
    <t>17th</t>
  </si>
  <si>
    <t>19th</t>
  </si>
  <si>
    <t>18th</t>
  </si>
  <si>
    <t>ESP32 Pin Names Required</t>
  </si>
  <si>
    <t>Water Pump</t>
  </si>
  <si>
    <t xml:space="preserve">w </t>
  </si>
  <si>
    <t>4 - Can</t>
  </si>
  <si>
    <t>5 - Can</t>
  </si>
  <si>
    <t>13- Servo</t>
  </si>
  <si>
    <t>16-WLED</t>
  </si>
  <si>
    <t>need 10 gpio in, CAN 4/5, i2c (36,33)</t>
  </si>
  <si>
    <t>CAN HI</t>
  </si>
  <si>
    <t>CAN LO</t>
  </si>
  <si>
    <t>I2C  SLC</t>
  </si>
  <si>
    <t>I2C SDA</t>
  </si>
  <si>
    <t>Key On</t>
  </si>
  <si>
    <t>Key Run</t>
  </si>
  <si>
    <t>Key Start</t>
  </si>
  <si>
    <t>Brake Pressed</t>
  </si>
  <si>
    <t>High Beams (?)</t>
  </si>
  <si>
    <t>Left Turn</t>
  </si>
  <si>
    <t>Right Turn</t>
  </si>
  <si>
    <t>? Door Open</t>
  </si>
  <si>
    <t>? Charge Door Open?</t>
  </si>
  <si>
    <t>ADC0</t>
  </si>
  <si>
    <t>ADC3</t>
  </si>
  <si>
    <t>ADC6</t>
  </si>
  <si>
    <t>ADC7</t>
  </si>
  <si>
    <t>TOUCH9</t>
  </si>
  <si>
    <t>TOUCH8</t>
  </si>
  <si>
    <t>DAC1</t>
  </si>
  <si>
    <t>DAC2</t>
  </si>
  <si>
    <t>TOUCH7</t>
  </si>
  <si>
    <t>TOUCH6</t>
  </si>
  <si>
    <t>FLASHCMD</t>
  </si>
  <si>
    <t>TOUCH 1</t>
  </si>
  <si>
    <t>TX 1</t>
  </si>
  <si>
    <t>TX 2</t>
  </si>
  <si>
    <t>RX 1</t>
  </si>
  <si>
    <t>TOUCH 4</t>
  </si>
  <si>
    <t>TOUCH 5</t>
  </si>
  <si>
    <t>FLASH CP</t>
  </si>
  <si>
    <t>FLASH D9</t>
  </si>
  <si>
    <t>FLASH D1</t>
  </si>
  <si>
    <t>TOUCH 3</t>
  </si>
  <si>
    <t>TOUCH 2</t>
  </si>
  <si>
    <t>TOUCH 0</t>
  </si>
  <si>
    <t>RX 2</t>
  </si>
  <si>
    <t>VSPI SS</t>
  </si>
  <si>
    <t>VSPI SCK</t>
  </si>
  <si>
    <t>VSPI MOSI</t>
  </si>
  <si>
    <t>RX 0</t>
  </si>
  <si>
    <t>TX 0</t>
  </si>
  <si>
    <t>I2C SCL</t>
  </si>
  <si>
    <t>VSPI miso</t>
  </si>
  <si>
    <t>https://randomnerdtutorials.com/esp32-servo-motor-web-server-arduino-ide/</t>
  </si>
  <si>
    <t>Servo</t>
  </si>
  <si>
    <t>0x55a</t>
  </si>
  <si>
    <t>0x11a</t>
  </si>
  <si>
    <t>car status (on, drive etc)</t>
  </si>
  <si>
    <t>0x1d4</t>
  </si>
  <si>
    <t>Motor Amps? Requested Torque?</t>
  </si>
  <si>
    <t>0x1da</t>
  </si>
  <si>
    <t>voltage, amps, rpm</t>
  </si>
  <si>
    <t>0x700</t>
  </si>
  <si>
    <t>0x701</t>
  </si>
  <si>
    <t>0x702</t>
  </si>
  <si>
    <t>0x703</t>
  </si>
  <si>
    <t>0x704</t>
  </si>
  <si>
    <t>TimeEpoch</t>
  </si>
  <si>
    <t>Latitude</t>
  </si>
  <si>
    <t>Longitude</t>
  </si>
  <si>
    <t>Elevation</t>
  </si>
  <si>
    <t>0x705</t>
  </si>
  <si>
    <t>0x706</t>
  </si>
  <si>
    <t>0x707</t>
  </si>
  <si>
    <t>0x708</t>
  </si>
  <si>
    <t>0x709</t>
  </si>
  <si>
    <t>0x710</t>
  </si>
  <si>
    <t>0x711</t>
  </si>
  <si>
    <t>0x712</t>
  </si>
  <si>
    <t>0x713</t>
  </si>
  <si>
    <t>0x714</t>
  </si>
  <si>
    <t>0x715</t>
  </si>
  <si>
    <t>0x716</t>
  </si>
  <si>
    <t>0x717</t>
  </si>
  <si>
    <t>0x718</t>
  </si>
  <si>
    <t>Thunderstruck Pedal Position</t>
  </si>
  <si>
    <t>Thunderstruck Regen Level</t>
  </si>
  <si>
    <t>Thunderstruck Regen-Triggered Brake</t>
  </si>
  <si>
    <t>Thunderstruck VCU Status</t>
  </si>
  <si>
    <t>Electrical Status: Key On/Run/Start, Parking Lights, Headlights, HiBeams, Brake Pressed, Fan On, Left Turn, Right Turn</t>
  </si>
  <si>
    <t>Weather: Temp, Air Pressure, Humidity</t>
  </si>
  <si>
    <t>Motion: x,y,z angle, x,y,z g-force</t>
  </si>
  <si>
    <t>Temperature</t>
  </si>
  <si>
    <t>Acc</t>
  </si>
  <si>
    <t>Keys</t>
  </si>
  <si>
    <t>Pedal</t>
  </si>
  <si>
    <t>*Accel</t>
  </si>
  <si>
    <t>Park</t>
  </si>
  <si>
    <t>Head</t>
  </si>
  <si>
    <t>Exterior Lights</t>
  </si>
  <si>
    <t>Driveshaft RPM</t>
  </si>
  <si>
    <t>12 Tx</t>
  </si>
  <si>
    <t>14 Led</t>
  </si>
  <si>
    <t>27 Srv</t>
  </si>
  <si>
    <t>26 Rx</t>
  </si>
  <si>
    <t>LED</t>
  </si>
  <si>
    <t>Left Turn Signal</t>
  </si>
  <si>
    <t>Right Turn Signal</t>
  </si>
  <si>
    <t>Brake Pedal</t>
  </si>
  <si>
    <t>PIN 11</t>
  </si>
  <si>
    <t>PIN 2</t>
  </si>
  <si>
    <t>PIN 1</t>
  </si>
  <si>
    <t>PIN 3</t>
  </si>
  <si>
    <t>PIN 4</t>
  </si>
  <si>
    <t>PIN 5</t>
  </si>
  <si>
    <t>PIN 6</t>
  </si>
  <si>
    <t>PIN 7</t>
  </si>
  <si>
    <t>PIN 8</t>
  </si>
  <si>
    <t>PIN 10</t>
  </si>
  <si>
    <t>PIN 9</t>
  </si>
  <si>
    <t>CAN TX</t>
  </si>
  <si>
    <t>CAN RX</t>
  </si>
  <si>
    <t>TOP</t>
  </si>
  <si>
    <t>BOTTOM</t>
  </si>
  <si>
    <t>Key Acc</t>
  </si>
  <si>
    <t>Regen Active</t>
  </si>
  <si>
    <t>Cooling Pump Active</t>
  </si>
  <si>
    <t>Body Pin</t>
  </si>
  <si>
    <t>Input Only</t>
  </si>
  <si>
    <t>Avoid - Can be used for Out, but if Low will prevent boot</t>
  </si>
  <si>
    <t>PIN 13</t>
  </si>
  <si>
    <t>PIN 14</t>
  </si>
  <si>
    <t>PIN 15</t>
  </si>
  <si>
    <t>PIN 16</t>
  </si>
  <si>
    <t>Door Open</t>
  </si>
  <si>
    <t>GPIO4</t>
  </si>
  <si>
    <t>GPIO3</t>
  </si>
  <si>
    <t>GPIO2</t>
  </si>
  <si>
    <t>GPIO1</t>
  </si>
  <si>
    <t>GPIO0</t>
  </si>
  <si>
    <t>GPIO5</t>
  </si>
  <si>
    <t>GPIO6</t>
  </si>
  <si>
    <t>GPIO7</t>
  </si>
  <si>
    <t>GPIO8</t>
  </si>
  <si>
    <t>GPIO9</t>
  </si>
  <si>
    <t>GPIO20</t>
  </si>
  <si>
    <t>i2c</t>
  </si>
  <si>
    <t>SCK</t>
  </si>
  <si>
    <t>MISO</t>
  </si>
  <si>
    <t>SS</t>
  </si>
  <si>
    <t>I2c SDA</t>
  </si>
  <si>
    <t>RX</t>
  </si>
  <si>
    <t>TX</t>
  </si>
  <si>
    <t>VLX Blue</t>
  </si>
  <si>
    <t>VLX Yellow</t>
  </si>
  <si>
    <t>grey</t>
  </si>
  <si>
    <t>3.3V</t>
  </si>
  <si>
    <t>gpio2</t>
  </si>
  <si>
    <t>gpio4</t>
  </si>
  <si>
    <t>gpio5</t>
  </si>
  <si>
    <t>gpio3</t>
  </si>
  <si>
    <t>gpio1</t>
  </si>
  <si>
    <t>vin</t>
  </si>
  <si>
    <t>en</t>
  </si>
  <si>
    <t>STEP IN3</t>
  </si>
  <si>
    <t>STEP IN4</t>
  </si>
  <si>
    <t>STEP IN1</t>
  </si>
  <si>
    <t>STEP IN2</t>
  </si>
  <si>
    <t>GEAR SERVO PWM</t>
  </si>
  <si>
    <t>LED RING PWM</t>
  </si>
  <si>
    <t>STEP HOME OPTICAL</t>
  </si>
  <si>
    <t>Can Rx</t>
  </si>
  <si>
    <t>LED Ring</t>
  </si>
  <si>
    <t>Can Tx</t>
  </si>
  <si>
    <t>Fuel Gauge ESP32 Pinout</t>
  </si>
  <si>
    <t>TEMP Bottom</t>
  </si>
  <si>
    <t>TEMP</t>
  </si>
  <si>
    <t>FUEL</t>
  </si>
  <si>
    <t>AMPS</t>
  </si>
  <si>
    <t>Black</t>
  </si>
  <si>
    <t>Red</t>
  </si>
  <si>
    <t>Vin</t>
  </si>
  <si>
    <t>I4</t>
  </si>
  <si>
    <t>I3</t>
  </si>
  <si>
    <t>I2</t>
  </si>
  <si>
    <t>I1</t>
  </si>
  <si>
    <t>Opt Home</t>
  </si>
  <si>
    <t>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</si>
</sst>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Moon Phases"/>
      <family val="2"/>
    </font>
    <font>
      <sz val="10"/>
      <color theme="1"/>
      <name val="Arial"/>
      <family val="2"/>
    </font>
    <font>
      <b/>
      <sz val="12"/>
      <color rgb="FF000000"/>
      <name val="Arial"/>
      <family val="2"/>
    </font>
    <font>
      <b/>
      <sz val="8"/>
      <color rgb="FF000000"/>
      <name val="Arial"/>
      <family val="2"/>
    </font>
    <font>
      <b/>
      <sz val="9"/>
      <color theme="1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sz val="10"/>
      <color rgb="FF000000"/>
      <name val="Arial"/>
      <family val="2"/>
    </font>
    <font>
      <sz val="7"/>
      <color theme="1"/>
      <name val="Arial"/>
      <family val="2"/>
    </font>
    <font>
      <strike/>
      <sz val="10"/>
      <color theme="1"/>
      <name val="Arial"/>
      <family val="2"/>
    </font>
    <font>
      <sz val="8"/>
      <color rgb="FF000000"/>
      <name val="Arial"/>
      <family val="2"/>
    </font>
    <font>
      <sz val="11"/>
      <color rgb="FFA6A6A6"/>
      <name val="Arial"/>
      <family val="2"/>
    </font>
    <font>
      <sz val="10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1"/>
      <color rgb="FF95A5A6"/>
      <name val="Consolas"/>
      <family val="3"/>
    </font>
    <font>
      <sz val="9"/>
      <color theme="1"/>
      <name val="Calibri"/>
      <family val="2"/>
      <scheme val="minor"/>
    </font>
    <font>
      <sz val="8"/>
      <color theme="1"/>
      <name val="Aptos Mono"/>
      <family val="3"/>
    </font>
    <font>
      <b/>
      <sz val="6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8"/>
      <color theme="1"/>
      <name val="Aptos Mono"/>
      <family val="3"/>
    </font>
    <font>
      <b/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8"/>
      <color theme="1"/>
      <name val="Aptos Mono"/>
      <family val="3"/>
    </font>
    <font>
      <sz val="11"/>
      <color theme="1"/>
      <name val="Aptos Mono"/>
      <family val="3"/>
    </font>
    <font>
      <b/>
      <sz val="11"/>
      <color theme="1"/>
      <name val="Aptos Mono"/>
      <family val="3"/>
    </font>
    <font>
      <b/>
      <sz val="20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8"/>
      <color theme="0" tint="-4.9989318521683403E-2"/>
      <name val="Calibri Light"/>
      <family val="2"/>
      <scheme val="major"/>
    </font>
  </fonts>
  <fills count="3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0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3" fillId="7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" fillId="0" borderId="9" xfId="0" applyFont="1" applyBorder="1"/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 applyAlignment="1">
      <alignment horizontal="center"/>
    </xf>
    <xf numFmtId="0" fontId="2" fillId="0" borderId="12" xfId="0" applyFont="1" applyBorder="1"/>
    <xf numFmtId="0" fontId="5" fillId="3" borderId="1" xfId="0" applyFont="1" applyFill="1" applyBorder="1"/>
    <xf numFmtId="0" fontId="4" fillId="2" borderId="1" xfId="0" applyFont="1" applyFill="1" applyBorder="1"/>
    <xf numFmtId="0" fontId="2" fillId="0" borderId="1" xfId="0" applyFont="1" applyBorder="1"/>
    <xf numFmtId="0" fontId="2" fillId="5" borderId="14" xfId="0" applyFont="1" applyFill="1" applyBorder="1" applyAlignment="1">
      <alignment horizontal="right"/>
    </xf>
    <xf numFmtId="0" fontId="2" fillId="0" borderId="14" xfId="0" applyFont="1" applyBorder="1" applyAlignment="1">
      <alignment horizontal="right"/>
    </xf>
    <xf numFmtId="0" fontId="4" fillId="2" borderId="14" xfId="0" applyFont="1" applyFill="1" applyBorder="1" applyAlignment="1">
      <alignment horizontal="right"/>
    </xf>
    <xf numFmtId="0" fontId="4" fillId="0" borderId="0" xfId="0" applyFont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2" fillId="5" borderId="15" xfId="0" applyFont="1" applyFill="1" applyBorder="1" applyAlignment="1">
      <alignment horizontal="right"/>
    </xf>
    <xf numFmtId="0" fontId="5" fillId="3" borderId="13" xfId="0" applyFont="1" applyFill="1" applyBorder="1"/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7" fillId="0" borderId="0" xfId="0" applyFont="1"/>
    <xf numFmtId="0" fontId="8" fillId="0" borderId="17" xfId="0" applyFont="1" applyBorder="1" applyAlignment="1">
      <alignment wrapText="1"/>
    </xf>
    <xf numFmtId="0" fontId="8" fillId="0" borderId="18" xfId="0" applyFont="1" applyBorder="1" applyAlignment="1">
      <alignment wrapText="1"/>
    </xf>
    <xf numFmtId="0" fontId="9" fillId="0" borderId="19" xfId="0" applyFont="1" applyBorder="1" applyAlignment="1">
      <alignment horizontal="center" wrapText="1"/>
    </xf>
    <xf numFmtId="0" fontId="10" fillId="0" borderId="19" xfId="0" applyFont="1" applyBorder="1" applyAlignment="1">
      <alignment horizontal="center" wrapText="1"/>
    </xf>
    <xf numFmtId="0" fontId="8" fillId="0" borderId="19" xfId="0" applyFont="1" applyBorder="1" applyAlignment="1">
      <alignment wrapText="1"/>
    </xf>
    <xf numFmtId="0" fontId="9" fillId="0" borderId="19" xfId="0" applyFont="1" applyBorder="1" applyAlignment="1">
      <alignment wrapText="1"/>
    </xf>
    <xf numFmtId="0" fontId="11" fillId="0" borderId="19" xfId="0" applyFont="1" applyBorder="1" applyAlignment="1">
      <alignment horizontal="center" wrapText="1"/>
    </xf>
    <xf numFmtId="0" fontId="9" fillId="0" borderId="23" xfId="0" applyFont="1" applyBorder="1" applyAlignment="1">
      <alignment wrapText="1"/>
    </xf>
    <xf numFmtId="0" fontId="12" fillId="0" borderId="17" xfId="0" applyFont="1" applyBorder="1" applyAlignment="1">
      <alignment horizontal="center" vertical="top" wrapText="1"/>
    </xf>
    <xf numFmtId="0" fontId="12" fillId="0" borderId="17" xfId="0" applyFont="1" applyBorder="1" applyAlignment="1">
      <alignment horizontal="right" vertical="top" wrapText="1"/>
    </xf>
    <xf numFmtId="0" fontId="12" fillId="0" borderId="17" xfId="0" applyFont="1" applyBorder="1" applyAlignment="1">
      <alignment vertical="top" wrapText="1"/>
    </xf>
    <xf numFmtId="0" fontId="8" fillId="0" borderId="17" xfId="0" applyFont="1" applyBorder="1" applyAlignment="1">
      <alignment vertical="top" wrapText="1"/>
    </xf>
    <xf numFmtId="0" fontId="8" fillId="0" borderId="19" xfId="0" applyFont="1" applyBorder="1" applyAlignment="1">
      <alignment vertical="top" wrapText="1"/>
    </xf>
    <xf numFmtId="0" fontId="13" fillId="0" borderId="19" xfId="0" applyFont="1" applyBorder="1" applyAlignment="1">
      <alignment vertical="top" wrapText="1"/>
    </xf>
    <xf numFmtId="0" fontId="12" fillId="0" borderId="19" xfId="0" applyFont="1" applyBorder="1" applyAlignment="1">
      <alignment vertical="top" wrapText="1"/>
    </xf>
    <xf numFmtId="0" fontId="8" fillId="0" borderId="23" xfId="0" applyFont="1" applyBorder="1" applyAlignment="1">
      <alignment wrapText="1"/>
    </xf>
    <xf numFmtId="0" fontId="15" fillId="0" borderId="17" xfId="0" applyFont="1" applyBorder="1" applyAlignment="1">
      <alignment wrapText="1"/>
    </xf>
    <xf numFmtId="0" fontId="16" fillId="0" borderId="17" xfId="0" applyFont="1" applyBorder="1" applyAlignment="1">
      <alignment wrapText="1"/>
    </xf>
    <xf numFmtId="0" fontId="17" fillId="0" borderId="19" xfId="0" applyFont="1" applyBorder="1" applyAlignment="1">
      <alignment vertical="top" wrapText="1"/>
    </xf>
    <xf numFmtId="0" fontId="18" fillId="0" borderId="17" xfId="0" applyFont="1" applyBorder="1" applyAlignment="1">
      <alignment horizontal="center" vertical="top" wrapText="1"/>
    </xf>
    <xf numFmtId="0" fontId="12" fillId="0" borderId="18" xfId="0" applyFont="1" applyBorder="1" applyAlignment="1">
      <alignment vertical="top" wrapText="1"/>
    </xf>
    <xf numFmtId="0" fontId="8" fillId="0" borderId="23" xfId="0" applyFont="1" applyBorder="1" applyAlignment="1">
      <alignment vertical="top" wrapText="1"/>
    </xf>
    <xf numFmtId="0" fontId="2" fillId="18" borderId="0" xfId="0" applyFont="1" applyFill="1" applyAlignment="1">
      <alignment horizontal="center"/>
    </xf>
    <xf numFmtId="0" fontId="0" fillId="18" borderId="0" xfId="0" applyFill="1" applyAlignment="1">
      <alignment horizontal="center"/>
    </xf>
    <xf numFmtId="0" fontId="2" fillId="19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2" fillId="20" borderId="0" xfId="0" applyFont="1" applyFill="1" applyAlignment="1">
      <alignment horizontal="center"/>
    </xf>
    <xf numFmtId="0" fontId="0" fillId="20" borderId="0" xfId="0" applyFill="1" applyAlignment="1">
      <alignment horizontal="center"/>
    </xf>
    <xf numFmtId="0" fontId="2" fillId="21" borderId="0" xfId="0" applyFont="1" applyFill="1" applyAlignment="1">
      <alignment horizontal="center"/>
    </xf>
    <xf numFmtId="0" fontId="0" fillId="21" borderId="0" xfId="0" applyFill="1" applyAlignment="1">
      <alignment horizontal="center"/>
    </xf>
    <xf numFmtId="0" fontId="1" fillId="21" borderId="0" xfId="0" applyFont="1" applyFill="1" applyAlignment="1">
      <alignment horizontal="center"/>
    </xf>
    <xf numFmtId="0" fontId="0" fillId="0" borderId="0" xfId="0" quotePrefix="1"/>
    <xf numFmtId="0" fontId="2" fillId="18" borderId="16" xfId="0" applyFont="1" applyFill="1" applyBorder="1" applyAlignment="1">
      <alignment horizontal="center"/>
    </xf>
    <xf numFmtId="0" fontId="2" fillId="19" borderId="16" xfId="0" applyFont="1" applyFill="1" applyBorder="1" applyAlignment="1">
      <alignment horizontal="center"/>
    </xf>
    <xf numFmtId="0" fontId="2" fillId="20" borderId="16" xfId="0" applyFont="1" applyFill="1" applyBorder="1" applyAlignment="1">
      <alignment horizontal="center"/>
    </xf>
    <xf numFmtId="0" fontId="2" fillId="21" borderId="16" xfId="0" applyFont="1" applyFill="1" applyBorder="1" applyAlignment="1">
      <alignment horizontal="center"/>
    </xf>
    <xf numFmtId="0" fontId="4" fillId="22" borderId="0" xfId="0" applyFont="1" applyFill="1" applyAlignment="1">
      <alignment horizontal="center"/>
    </xf>
    <xf numFmtId="0" fontId="1" fillId="23" borderId="0" xfId="0" applyFont="1" applyFill="1" applyAlignment="1">
      <alignment horizontal="center"/>
    </xf>
    <xf numFmtId="0" fontId="0" fillId="23" borderId="0" xfId="0" applyFill="1" applyAlignment="1">
      <alignment horizontal="center"/>
    </xf>
    <xf numFmtId="0" fontId="4" fillId="23" borderId="0" xfId="0" applyFont="1" applyFill="1" applyAlignment="1">
      <alignment horizontal="center"/>
    </xf>
    <xf numFmtId="0" fontId="4" fillId="23" borderId="16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9" fillId="0" borderId="0" xfId="0" applyFont="1"/>
    <xf numFmtId="0" fontId="0" fillId="22" borderId="0" xfId="0" applyFill="1" applyAlignment="1">
      <alignment horizontal="right"/>
    </xf>
    <xf numFmtId="0" fontId="0" fillId="22" borderId="0" xfId="0" quotePrefix="1" applyFill="1" applyAlignment="1">
      <alignment horizontal="right"/>
    </xf>
    <xf numFmtId="0" fontId="1" fillId="22" borderId="0" xfId="0" applyFont="1" applyFill="1" applyAlignment="1">
      <alignment horizontal="right"/>
    </xf>
    <xf numFmtId="0" fontId="1" fillId="22" borderId="0" xfId="0" applyFont="1" applyFill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right"/>
    </xf>
    <xf numFmtId="0" fontId="19" fillId="0" borderId="39" xfId="0" applyFont="1" applyBorder="1" applyAlignment="1">
      <alignment horizontal="left"/>
    </xf>
    <xf numFmtId="0" fontId="19" fillId="0" borderId="2" xfId="0" applyFont="1" applyBorder="1" applyAlignment="1">
      <alignment horizontal="center"/>
    </xf>
    <xf numFmtId="0" fontId="19" fillId="0" borderId="40" xfId="0" applyFont="1" applyBorder="1"/>
    <xf numFmtId="0" fontId="19" fillId="0" borderId="3" xfId="0" applyFont="1" applyBorder="1" applyAlignment="1">
      <alignment horizontal="left"/>
    </xf>
    <xf numFmtId="0" fontId="19" fillId="0" borderId="4" xfId="0" applyFont="1" applyBorder="1"/>
    <xf numFmtId="0" fontId="19" fillId="9" borderId="15" xfId="0" applyFont="1" applyFill="1" applyBorder="1" applyAlignment="1">
      <alignment horizontal="left"/>
    </xf>
    <xf numFmtId="0" fontId="19" fillId="9" borderId="16" xfId="0" applyFont="1" applyFill="1" applyBorder="1" applyAlignment="1">
      <alignment horizontal="center"/>
    </xf>
    <xf numFmtId="0" fontId="19" fillId="9" borderId="41" xfId="0" applyFont="1" applyFill="1" applyBorder="1"/>
    <xf numFmtId="0" fontId="0" fillId="9" borderId="0" xfId="0" applyFill="1" applyAlignment="1">
      <alignment horizontal="right"/>
    </xf>
    <xf numFmtId="0" fontId="1" fillId="9" borderId="0" xfId="0" applyFont="1" applyFill="1"/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1" fillId="0" borderId="0" xfId="0" applyFont="1" applyAlignment="1">
      <alignment vertical="center"/>
    </xf>
    <xf numFmtId="0" fontId="0" fillId="17" borderId="0" xfId="0" applyFill="1" applyAlignment="1">
      <alignment horizontal="right"/>
    </xf>
    <xf numFmtId="0" fontId="0" fillId="17" borderId="0" xfId="0" applyFill="1"/>
    <xf numFmtId="0" fontId="0" fillId="24" borderId="0" xfId="0" applyFill="1" applyAlignment="1">
      <alignment horizontal="right"/>
    </xf>
    <xf numFmtId="0" fontId="0" fillId="24" borderId="0" xfId="0" applyFill="1"/>
    <xf numFmtId="0" fontId="0" fillId="5" borderId="0" xfId="0" applyFill="1" applyAlignment="1">
      <alignment horizontal="right"/>
    </xf>
    <xf numFmtId="0" fontId="0" fillId="5" borderId="0" xfId="0" applyFill="1"/>
    <xf numFmtId="0" fontId="0" fillId="0" borderId="1" xfId="0" applyBorder="1"/>
    <xf numFmtId="0" fontId="0" fillId="0" borderId="1" xfId="0" applyBorder="1" applyAlignment="1">
      <alignment horizontal="left"/>
    </xf>
    <xf numFmtId="0" fontId="22" fillId="0" borderId="0" xfId="0" applyFont="1" applyAlignment="1">
      <alignment horizontal="center"/>
    </xf>
    <xf numFmtId="0" fontId="1" fillId="0" borderId="39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40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1" fillId="0" borderId="41" xfId="0" applyFont="1" applyBorder="1" applyAlignment="1">
      <alignment horizontal="right"/>
    </xf>
    <xf numFmtId="0" fontId="12" fillId="22" borderId="17" xfId="0" applyFont="1" applyFill="1" applyBorder="1" applyAlignment="1">
      <alignment vertical="top" wrapText="1"/>
    </xf>
    <xf numFmtId="0" fontId="1" fillId="0" borderId="0" xfId="0" applyFont="1" applyAlignment="1">
      <alignment horizontal="left"/>
    </xf>
    <xf numFmtId="0" fontId="0" fillId="0" borderId="14" xfId="0" applyBorder="1"/>
    <xf numFmtId="0" fontId="0" fillId="17" borderId="42" xfId="0" applyFill="1" applyBorder="1" applyAlignment="1">
      <alignment horizontal="right"/>
    </xf>
    <xf numFmtId="0" fontId="0" fillId="5" borderId="42" xfId="0" applyFill="1" applyBorder="1" applyAlignment="1">
      <alignment horizontal="right"/>
    </xf>
    <xf numFmtId="0" fontId="0" fillId="17" borderId="39" xfId="0" applyFill="1" applyBorder="1"/>
    <xf numFmtId="0" fontId="0" fillId="24" borderId="15" xfId="0" applyFill="1" applyBorder="1"/>
    <xf numFmtId="0" fontId="0" fillId="24" borderId="39" xfId="0" applyFill="1" applyBorder="1"/>
    <xf numFmtId="0" fontId="0" fillId="24" borderId="3" xfId="0" applyFill="1" applyBorder="1"/>
    <xf numFmtId="0" fontId="0" fillId="5" borderId="3" xfId="0" applyFill="1" applyBorder="1"/>
    <xf numFmtId="0" fontId="0" fillId="0" borderId="3" xfId="0" applyBorder="1"/>
    <xf numFmtId="0" fontId="0" fillId="0" borderId="15" xfId="0" applyBorder="1"/>
    <xf numFmtId="0" fontId="23" fillId="0" borderId="0" xfId="0" applyFont="1"/>
    <xf numFmtId="0" fontId="0" fillId="0" borderId="1" xfId="0" applyBorder="1" applyAlignment="1">
      <alignment horizontal="center"/>
    </xf>
    <xf numFmtId="0" fontId="23" fillId="0" borderId="43" xfId="0" applyFont="1" applyBorder="1"/>
    <xf numFmtId="0" fontId="23" fillId="0" borderId="2" xfId="0" applyFont="1" applyBorder="1"/>
    <xf numFmtId="0" fontId="1" fillId="0" borderId="40" xfId="0" applyFont="1" applyBorder="1"/>
    <xf numFmtId="0" fontId="23" fillId="0" borderId="16" xfId="0" applyFont="1" applyBorder="1"/>
    <xf numFmtId="0" fontId="1" fillId="0" borderId="41" xfId="0" applyFont="1" applyBorder="1"/>
    <xf numFmtId="0" fontId="1" fillId="0" borderId="4" xfId="0" applyFont="1" applyBorder="1"/>
    <xf numFmtId="0" fontId="0" fillId="0" borderId="44" xfId="0" applyBorder="1" applyAlignment="1">
      <alignment horizontal="left"/>
    </xf>
    <xf numFmtId="0" fontId="0" fillId="5" borderId="43" xfId="0" applyFill="1" applyBorder="1" applyAlignment="1">
      <alignment horizontal="right"/>
    </xf>
    <xf numFmtId="0" fontId="0" fillId="0" borderId="42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24" borderId="16" xfId="0" applyFill="1" applyBorder="1" applyAlignment="1">
      <alignment horizontal="right"/>
    </xf>
    <xf numFmtId="0" fontId="0" fillId="24" borderId="42" xfId="0" applyFill="1" applyBorder="1" applyAlignment="1">
      <alignment horizontal="right"/>
    </xf>
    <xf numFmtId="0" fontId="23" fillId="23" borderId="43" xfId="0" applyFont="1" applyFill="1" applyBorder="1"/>
    <xf numFmtId="0" fontId="23" fillId="25" borderId="43" xfId="0" applyFont="1" applyFill="1" applyBorder="1"/>
    <xf numFmtId="0" fontId="23" fillId="25" borderId="16" xfId="0" applyFont="1" applyFill="1" applyBorder="1"/>
    <xf numFmtId="0" fontId="23" fillId="26" borderId="0" xfId="0" applyFont="1" applyFill="1"/>
    <xf numFmtId="0" fontId="1" fillId="21" borderId="0" xfId="0" applyFont="1" applyFill="1"/>
    <xf numFmtId="0" fontId="2" fillId="21" borderId="15" xfId="0" applyFont="1" applyFill="1" applyBorder="1" applyAlignment="1">
      <alignment horizontal="center"/>
    </xf>
    <xf numFmtId="0" fontId="2" fillId="21" borderId="41" xfId="0" applyFont="1" applyFill="1" applyBorder="1" applyAlignment="1">
      <alignment horizontal="center"/>
    </xf>
    <xf numFmtId="0" fontId="25" fillId="0" borderId="0" xfId="0" applyFont="1"/>
    <xf numFmtId="0" fontId="26" fillId="0" borderId="0" xfId="0" applyFont="1"/>
    <xf numFmtId="0" fontId="1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0" fontId="24" fillId="0" borderId="0" xfId="0" applyFont="1"/>
    <xf numFmtId="0" fontId="26" fillId="9" borderId="0" xfId="0" applyFont="1" applyFill="1" applyAlignment="1">
      <alignment horizontal="right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left"/>
    </xf>
    <xf numFmtId="0" fontId="20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6" xfId="0" applyBorder="1"/>
    <xf numFmtId="0" fontId="0" fillId="0" borderId="47" xfId="0" applyBorder="1" applyAlignment="1">
      <alignment horizontal="left"/>
    </xf>
    <xf numFmtId="0" fontId="0" fillId="27" borderId="48" xfId="0" applyFill="1" applyBorder="1"/>
    <xf numFmtId="0" fontId="0" fillId="0" borderId="48" xfId="0" applyBorder="1"/>
    <xf numFmtId="0" fontId="0" fillId="0" borderId="49" xfId="0" applyBorder="1" applyAlignment="1">
      <alignment horizontal="left"/>
    </xf>
    <xf numFmtId="0" fontId="0" fillId="0" borderId="50" xfId="0" applyBorder="1" applyAlignment="1">
      <alignment horizontal="left"/>
    </xf>
    <xf numFmtId="0" fontId="20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4" borderId="0" xfId="0" applyFill="1"/>
    <xf numFmtId="0" fontId="19" fillId="28" borderId="0" xfId="0" applyFont="1" applyFill="1"/>
    <xf numFmtId="0" fontId="19" fillId="22" borderId="0" xfId="0" applyFont="1" applyFill="1"/>
    <xf numFmtId="0" fontId="19" fillId="4" borderId="0" xfId="0" applyFont="1" applyFill="1"/>
    <xf numFmtId="0" fontId="0" fillId="22" borderId="0" xfId="0" applyFill="1"/>
    <xf numFmtId="0" fontId="27" fillId="27" borderId="0" xfId="0" applyFont="1" applyFill="1" applyAlignment="1">
      <alignment horizontal="right"/>
    </xf>
    <xf numFmtId="0" fontId="27" fillId="27" borderId="0" xfId="0" applyFont="1" applyFill="1"/>
    <xf numFmtId="0" fontId="28" fillId="27" borderId="0" xfId="0" applyFont="1" applyFill="1"/>
    <xf numFmtId="0" fontId="31" fillId="0" borderId="0" xfId="0" applyFont="1"/>
    <xf numFmtId="0" fontId="2" fillId="0" borderId="44" xfId="0" applyFont="1" applyBorder="1" applyAlignment="1">
      <alignment horizontal="center"/>
    </xf>
    <xf numFmtId="0" fontId="2" fillId="0" borderId="5" xfId="0" quotePrefix="1" applyFont="1" applyBorder="1"/>
    <xf numFmtId="0" fontId="2" fillId="0" borderId="8" xfId="0" quotePrefix="1" applyFont="1" applyBorder="1"/>
    <xf numFmtId="0" fontId="2" fillId="0" borderId="0" xfId="0" quotePrefix="1" applyFont="1" applyAlignment="1">
      <alignment horizontal="right"/>
    </xf>
    <xf numFmtId="0" fontId="25" fillId="20" borderId="0" xfId="0" applyFont="1" applyFill="1"/>
    <xf numFmtId="0" fontId="25" fillId="29" borderId="0" xfId="0" applyFont="1" applyFill="1"/>
    <xf numFmtId="0" fontId="2" fillId="28" borderId="0" xfId="0" quotePrefix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2" fillId="0" borderId="0" xfId="0" quotePrefix="1" applyFont="1" applyAlignment="1">
      <alignment horizontal="right" vertical="top"/>
    </xf>
    <xf numFmtId="0" fontId="2" fillId="2" borderId="0" xfId="0" applyFont="1" applyFill="1" applyAlignment="1">
      <alignment horizontal="right" vertical="top"/>
    </xf>
    <xf numFmtId="0" fontId="2" fillId="28" borderId="0" xfId="0" quotePrefix="1" applyFont="1" applyFill="1" applyAlignment="1">
      <alignment horizontal="right" vertical="top"/>
    </xf>
    <xf numFmtId="0" fontId="2" fillId="0" borderId="0" xfId="0" applyFont="1" applyAlignment="1">
      <alignment horizontal="right" vertical="top"/>
    </xf>
    <xf numFmtId="0" fontId="25" fillId="22" borderId="0" xfId="0" applyFont="1" applyFill="1"/>
    <xf numFmtId="0" fontId="2" fillId="0" borderId="0" xfId="0" applyFont="1" applyAlignment="1">
      <alignment horizontal="left" vertical="top"/>
    </xf>
    <xf numFmtId="0" fontId="0" fillId="23" borderId="0" xfId="0" applyFill="1" applyAlignment="1">
      <alignment horizontal="right"/>
    </xf>
    <xf numFmtId="0" fontId="0" fillId="23" borderId="0" xfId="0" applyFill="1" applyAlignment="1">
      <alignment horizontal="left"/>
    </xf>
    <xf numFmtId="0" fontId="2" fillId="0" borderId="40" xfId="0" quotePrefix="1" applyFont="1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8" borderId="4" xfId="0" quotePrefix="1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41" xfId="0" applyFont="1" applyBorder="1" applyAlignment="1">
      <alignment horizontal="right" vertical="top"/>
    </xf>
    <xf numFmtId="0" fontId="2" fillId="0" borderId="39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0" fillId="0" borderId="41" xfId="0" applyFont="1" applyBorder="1" applyAlignment="1">
      <alignment horizontal="center"/>
    </xf>
    <xf numFmtId="0" fontId="33" fillId="32" borderId="0" xfId="0" applyFont="1" applyFill="1"/>
    <xf numFmtId="0" fontId="32" fillId="35" borderId="0" xfId="0" applyFont="1" applyFill="1"/>
    <xf numFmtId="0" fontId="32" fillId="31" borderId="0" xfId="0" applyFont="1" applyFill="1"/>
    <xf numFmtId="0" fontId="32" fillId="30" borderId="0" xfId="0" applyFont="1" applyFill="1"/>
    <xf numFmtId="0" fontId="32" fillId="33" borderId="0" xfId="0" applyFont="1" applyFill="1" applyAlignment="1">
      <alignment horizontal="right"/>
    </xf>
    <xf numFmtId="0" fontId="32" fillId="34" borderId="0" xfId="0" applyFont="1" applyFill="1" applyAlignment="1">
      <alignment horizontal="right"/>
    </xf>
    <xf numFmtId="0" fontId="32" fillId="17" borderId="0" xfId="0" applyFont="1" applyFill="1" applyAlignment="1">
      <alignment horizontal="right"/>
    </xf>
    <xf numFmtId="0" fontId="32" fillId="24" borderId="0" xfId="0" applyFont="1" applyFill="1" applyAlignment="1">
      <alignment horizontal="right"/>
    </xf>
    <xf numFmtId="0" fontId="32" fillId="9" borderId="0" xfId="0" applyFont="1" applyFill="1" applyAlignment="1">
      <alignment horizontal="right"/>
    </xf>
    <xf numFmtId="0" fontId="32" fillId="5" borderId="0" xfId="0" applyFont="1" applyFill="1" applyAlignment="1">
      <alignment horizontal="right"/>
    </xf>
    <xf numFmtId="0" fontId="2" fillId="0" borderId="1" xfId="0" applyFont="1" applyBorder="1" applyAlignment="1">
      <alignment horizontal="center" vertical="center" textRotation="90"/>
    </xf>
    <xf numFmtId="0" fontId="2" fillId="0" borderId="1" xfId="0" quotePrefix="1" applyFont="1" applyBorder="1" applyAlignment="1">
      <alignment horizontal="center" vertical="center" textRotation="90"/>
    </xf>
    <xf numFmtId="0" fontId="1" fillId="36" borderId="0" xfId="0" applyFont="1" applyFill="1"/>
    <xf numFmtId="0" fontId="2" fillId="37" borderId="1" xfId="0" applyFont="1" applyFill="1" applyBorder="1" applyAlignment="1">
      <alignment horizontal="center" vertical="center" textRotation="90"/>
    </xf>
    <xf numFmtId="0" fontId="1" fillId="37" borderId="0" xfId="0" applyFont="1" applyFill="1"/>
    <xf numFmtId="0" fontId="2" fillId="23" borderId="1" xfId="0" applyFont="1" applyFill="1" applyBorder="1" applyAlignment="1">
      <alignment horizontal="center" vertical="center" textRotation="90"/>
    </xf>
    <xf numFmtId="17" fontId="0" fillId="0" borderId="0" xfId="0" applyNumberFormat="1"/>
    <xf numFmtId="0" fontId="35" fillId="0" borderId="0" xfId="0" applyFont="1"/>
    <xf numFmtId="0" fontId="36" fillId="0" borderId="1" xfId="0" quotePrefix="1" applyFont="1" applyBorder="1" applyAlignment="1">
      <alignment horizontal="center" vertical="center" textRotation="90"/>
    </xf>
    <xf numFmtId="0" fontId="36" fillId="0" borderId="1" xfId="0" applyFont="1" applyBorder="1" applyAlignment="1">
      <alignment horizontal="center" vertical="center" textRotation="90"/>
    </xf>
    <xf numFmtId="0" fontId="35" fillId="0" borderId="44" xfId="0" applyFont="1" applyBorder="1" applyAlignment="1">
      <alignment horizontal="center"/>
    </xf>
    <xf numFmtId="0" fontId="35" fillId="0" borderId="0" xfId="0" applyFont="1" applyAlignment="1">
      <alignment horizontal="right"/>
    </xf>
    <xf numFmtId="0" fontId="35" fillId="0" borderId="39" xfId="0" applyFont="1" applyBorder="1" applyAlignment="1">
      <alignment horizontal="left"/>
    </xf>
    <xf numFmtId="0" fontId="35" fillId="0" borderId="40" xfId="0" applyFont="1" applyBorder="1"/>
    <xf numFmtId="0" fontId="35" fillId="0" borderId="3" xfId="0" applyFont="1" applyBorder="1" applyAlignment="1">
      <alignment horizontal="left"/>
    </xf>
    <xf numFmtId="0" fontId="35" fillId="0" borderId="52" xfId="0" applyFont="1" applyBorder="1" applyAlignment="1">
      <alignment horizontal="center"/>
    </xf>
    <xf numFmtId="0" fontId="35" fillId="0" borderId="4" xfId="0" applyFont="1" applyBorder="1"/>
    <xf numFmtId="0" fontId="35" fillId="0" borderId="13" xfId="0" applyFont="1" applyBorder="1" applyAlignment="1">
      <alignment horizontal="center"/>
    </xf>
    <xf numFmtId="0" fontId="35" fillId="0" borderId="15" xfId="0" applyFont="1" applyBorder="1" applyAlignment="1">
      <alignment horizontal="left"/>
    </xf>
    <xf numFmtId="0" fontId="35" fillId="0" borderId="41" xfId="0" applyFont="1" applyBorder="1"/>
    <xf numFmtId="0" fontId="38" fillId="0" borderId="4" xfId="0" applyFont="1" applyBorder="1"/>
    <xf numFmtId="0" fontId="38" fillId="0" borderId="0" xfId="0" applyFont="1"/>
    <xf numFmtId="0" fontId="35" fillId="0" borderId="1" xfId="0" applyFont="1" applyBorder="1" applyAlignment="1">
      <alignment horizontal="center"/>
    </xf>
    <xf numFmtId="0" fontId="39" fillId="38" borderId="1" xfId="0" applyFont="1" applyFill="1" applyBorder="1" applyAlignment="1">
      <alignment horizontal="center" vertical="center" textRotation="90"/>
    </xf>
    <xf numFmtId="0" fontId="2" fillId="0" borderId="0" xfId="0" applyFont="1" applyAlignment="1">
      <alignment horizontal="left"/>
    </xf>
    <xf numFmtId="0" fontId="25" fillId="0" borderId="0" xfId="0" applyFont="1" applyAlignment="1">
      <alignment horizontal="right"/>
    </xf>
    <xf numFmtId="0" fontId="1" fillId="18" borderId="0" xfId="0" applyFont="1" applyFill="1" applyAlignment="1">
      <alignment horizontal="center"/>
    </xf>
    <xf numFmtId="0" fontId="1" fillId="19" borderId="0" xfId="0" applyFont="1" applyFill="1" applyAlignment="1">
      <alignment horizontal="center"/>
    </xf>
    <xf numFmtId="0" fontId="1" fillId="20" borderId="0" xfId="0" applyFont="1" applyFill="1" applyAlignment="1">
      <alignment horizontal="center"/>
    </xf>
    <xf numFmtId="0" fontId="1" fillId="23" borderId="0" xfId="0" applyFont="1" applyFill="1" applyAlignment="1">
      <alignment horizontal="center"/>
    </xf>
    <xf numFmtId="0" fontId="1" fillId="21" borderId="0" xfId="0" applyFont="1" applyFill="1" applyAlignment="1">
      <alignment horizontal="center"/>
    </xf>
    <xf numFmtId="0" fontId="1" fillId="21" borderId="39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21" borderId="40" xfId="0" applyFont="1" applyFill="1" applyBorder="1" applyAlignment="1">
      <alignment horizontal="center"/>
    </xf>
    <xf numFmtId="0" fontId="9" fillId="0" borderId="20" xfId="0" applyFont="1" applyBorder="1" applyAlignment="1">
      <alignment horizontal="center" wrapText="1"/>
    </xf>
    <xf numFmtId="0" fontId="9" fillId="0" borderId="21" xfId="0" applyFont="1" applyBorder="1" applyAlignment="1">
      <alignment horizontal="center" wrapText="1"/>
    </xf>
    <xf numFmtId="0" fontId="9" fillId="0" borderId="22" xfId="0" applyFont="1" applyBorder="1" applyAlignment="1">
      <alignment horizontal="center" wrapText="1"/>
    </xf>
    <xf numFmtId="0" fontId="12" fillId="22" borderId="35" xfId="0" applyFont="1" applyFill="1" applyBorder="1" applyAlignment="1">
      <alignment horizontal="center" vertical="center" wrapText="1"/>
    </xf>
    <xf numFmtId="0" fontId="12" fillId="22" borderId="24" xfId="0" applyFont="1" applyFill="1" applyBorder="1" applyAlignment="1">
      <alignment horizontal="center" vertical="center" wrapText="1"/>
    </xf>
    <xf numFmtId="0" fontId="12" fillId="22" borderId="25" xfId="0" applyFont="1" applyFill="1" applyBorder="1" applyAlignment="1">
      <alignment horizontal="center" vertical="center" wrapText="1"/>
    </xf>
    <xf numFmtId="0" fontId="12" fillId="10" borderId="36" xfId="0" applyFont="1" applyFill="1" applyBorder="1" applyAlignment="1">
      <alignment horizontal="center" vertical="center" wrapText="1"/>
    </xf>
    <xf numFmtId="0" fontId="12" fillId="10" borderId="27" xfId="0" applyFont="1" applyFill="1" applyBorder="1" applyAlignment="1">
      <alignment horizontal="center" vertical="center" wrapText="1"/>
    </xf>
    <xf numFmtId="0" fontId="12" fillId="10" borderId="28" xfId="0" applyFont="1" applyFill="1" applyBorder="1" applyAlignment="1">
      <alignment horizontal="center" vertical="center" wrapText="1"/>
    </xf>
    <xf numFmtId="0" fontId="8" fillId="0" borderId="37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wrapText="1"/>
    </xf>
    <xf numFmtId="0" fontId="8" fillId="0" borderId="31" xfId="0" applyFont="1" applyBorder="1" applyAlignment="1">
      <alignment wrapText="1"/>
    </xf>
    <xf numFmtId="0" fontId="8" fillId="0" borderId="26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26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8" fillId="0" borderId="26" xfId="0" applyFont="1" applyBorder="1" applyAlignment="1">
      <alignment vertical="top" wrapText="1"/>
    </xf>
    <xf numFmtId="0" fontId="8" fillId="0" borderId="31" xfId="0" applyFont="1" applyBorder="1" applyAlignment="1">
      <alignment vertical="top" wrapText="1"/>
    </xf>
    <xf numFmtId="0" fontId="12" fillId="0" borderId="36" xfId="0" applyFont="1" applyBorder="1" applyAlignment="1">
      <alignment horizontal="center" vertical="center" wrapText="1"/>
    </xf>
    <xf numFmtId="0" fontId="12" fillId="0" borderId="36" xfId="0" applyFont="1" applyBorder="1" applyAlignment="1">
      <alignment vertical="center" wrapText="1"/>
    </xf>
    <xf numFmtId="0" fontId="12" fillId="12" borderId="36" xfId="0" applyFont="1" applyFill="1" applyBorder="1" applyAlignment="1">
      <alignment horizontal="center" vertical="center" wrapText="1"/>
    </xf>
    <xf numFmtId="0" fontId="12" fillId="12" borderId="27" xfId="0" applyFont="1" applyFill="1" applyBorder="1" applyAlignment="1">
      <alignment horizontal="center" vertical="center" wrapText="1"/>
    </xf>
    <xf numFmtId="0" fontId="12" fillId="12" borderId="28" xfId="0" applyFont="1" applyFill="1" applyBorder="1" applyAlignment="1">
      <alignment horizontal="center" vertical="center" wrapText="1"/>
    </xf>
    <xf numFmtId="0" fontId="12" fillId="13" borderId="36" xfId="0" applyFont="1" applyFill="1" applyBorder="1" applyAlignment="1">
      <alignment horizontal="center" vertical="center" wrapText="1"/>
    </xf>
    <xf numFmtId="0" fontId="12" fillId="13" borderId="27" xfId="0" applyFont="1" applyFill="1" applyBorder="1" applyAlignment="1">
      <alignment horizontal="center" vertical="center" wrapText="1"/>
    </xf>
    <xf numFmtId="0" fontId="12" fillId="13" borderId="28" xfId="0" applyFont="1" applyFill="1" applyBorder="1" applyAlignment="1">
      <alignment horizontal="center" vertical="center" wrapText="1"/>
    </xf>
    <xf numFmtId="0" fontId="12" fillId="11" borderId="3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11" borderId="28" xfId="0" applyFont="1" applyFill="1" applyBorder="1" applyAlignment="1">
      <alignment horizontal="center" vertical="center" wrapText="1"/>
    </xf>
    <xf numFmtId="0" fontId="8" fillId="0" borderId="36" xfId="0" applyFont="1" applyBorder="1" applyAlignment="1">
      <alignment vertical="top" wrapText="1"/>
    </xf>
    <xf numFmtId="0" fontId="14" fillId="0" borderId="36" xfId="0" applyFont="1" applyBorder="1" applyAlignment="1">
      <alignment vertical="center" wrapText="1"/>
    </xf>
    <xf numFmtId="0" fontId="14" fillId="0" borderId="31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12" borderId="35" xfId="0" applyFont="1" applyFill="1" applyBorder="1" applyAlignment="1">
      <alignment horizontal="center" vertical="center" wrapText="1"/>
    </xf>
    <xf numFmtId="0" fontId="12" fillId="12" borderId="24" xfId="0" applyFont="1" applyFill="1" applyBorder="1" applyAlignment="1">
      <alignment horizontal="center" vertical="center" wrapText="1"/>
    </xf>
    <xf numFmtId="0" fontId="12" fillId="12" borderId="25" xfId="0" applyFont="1" applyFill="1" applyBorder="1" applyAlignment="1">
      <alignment horizontal="center" vertical="center" wrapText="1"/>
    </xf>
    <xf numFmtId="0" fontId="12" fillId="17" borderId="35" xfId="0" applyFont="1" applyFill="1" applyBorder="1" applyAlignment="1">
      <alignment horizontal="center" vertical="center" wrapText="1"/>
    </xf>
    <xf numFmtId="0" fontId="12" fillId="17" borderId="24" xfId="0" applyFont="1" applyFill="1" applyBorder="1" applyAlignment="1">
      <alignment horizontal="center" vertical="center" wrapText="1"/>
    </xf>
    <xf numFmtId="0" fontId="12" fillId="17" borderId="25" xfId="0" applyFont="1" applyFill="1" applyBorder="1" applyAlignment="1">
      <alignment horizontal="center" vertical="center" wrapText="1"/>
    </xf>
    <xf numFmtId="0" fontId="12" fillId="14" borderId="36" xfId="0" applyFont="1" applyFill="1" applyBorder="1" applyAlignment="1">
      <alignment horizontal="center" vertical="center" wrapText="1"/>
    </xf>
    <xf numFmtId="0" fontId="12" fillId="14" borderId="27" xfId="0" applyFont="1" applyFill="1" applyBorder="1" applyAlignment="1">
      <alignment horizontal="center" vertical="center" wrapText="1"/>
    </xf>
    <xf numFmtId="0" fontId="12" fillId="14" borderId="28" xfId="0" applyFont="1" applyFill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12" fillId="12" borderId="38" xfId="0" applyFont="1" applyFill="1" applyBorder="1" applyAlignment="1">
      <alignment horizontal="center" vertical="center" wrapText="1"/>
    </xf>
    <xf numFmtId="0" fontId="12" fillId="12" borderId="33" xfId="0" applyFont="1" applyFill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16" borderId="36" xfId="0" applyFont="1" applyFill="1" applyBorder="1" applyAlignment="1">
      <alignment horizontal="center" vertical="center" wrapText="1"/>
    </xf>
    <xf numFmtId="0" fontId="12" fillId="16" borderId="31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0" fontId="8" fillId="0" borderId="38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  <xf numFmtId="0" fontId="8" fillId="0" borderId="37" xfId="0" applyFont="1" applyBorder="1" applyAlignment="1">
      <alignment vertical="top" wrapText="1"/>
    </xf>
    <xf numFmtId="0" fontId="8" fillId="0" borderId="29" xfId="0" applyFont="1" applyBorder="1" applyAlignment="1">
      <alignment vertical="top" wrapText="1"/>
    </xf>
    <xf numFmtId="0" fontId="8" fillId="0" borderId="30" xfId="0" applyFont="1" applyBorder="1" applyAlignment="1">
      <alignment vertical="top" wrapText="1"/>
    </xf>
    <xf numFmtId="0" fontId="12" fillId="15" borderId="36" xfId="0" applyFont="1" applyFill="1" applyBorder="1" applyAlignment="1">
      <alignment horizontal="center" vertical="center" wrapText="1"/>
    </xf>
    <xf numFmtId="0" fontId="12" fillId="15" borderId="27" xfId="0" applyFont="1" applyFill="1" applyBorder="1" applyAlignment="1">
      <alignment horizontal="center" vertical="center" wrapText="1"/>
    </xf>
    <xf numFmtId="0" fontId="12" fillId="15" borderId="28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textRotation="180"/>
    </xf>
    <xf numFmtId="0" fontId="4" fillId="0" borderId="0" xfId="0" applyFont="1" applyAlignment="1">
      <alignment horizontal="center" vertical="center" textRotation="180"/>
    </xf>
    <xf numFmtId="0" fontId="4" fillId="0" borderId="11" xfId="0" applyFont="1" applyBorder="1" applyAlignment="1">
      <alignment horizontal="center" vertical="center" textRotation="180"/>
    </xf>
    <xf numFmtId="0" fontId="29" fillId="0" borderId="0" xfId="0" applyFont="1" applyAlignment="1">
      <alignment horizontal="center" vertical="center" textRotation="180"/>
    </xf>
    <xf numFmtId="0" fontId="30" fillId="0" borderId="0" xfId="0" applyFont="1" applyAlignment="1">
      <alignment horizontal="center" vertical="center" textRotation="180"/>
    </xf>
    <xf numFmtId="0" fontId="34" fillId="0" borderId="0" xfId="0" applyFont="1" applyAlignment="1">
      <alignment horizontal="center" vertical="center" textRotation="180"/>
    </xf>
    <xf numFmtId="0" fontId="38" fillId="0" borderId="1" xfId="0" applyFont="1" applyBorder="1" applyAlignment="1">
      <alignment horizontal="right" vertical="center" textRotation="180"/>
    </xf>
    <xf numFmtId="0" fontId="38" fillId="0" borderId="1" xfId="0" applyFont="1" applyBorder="1" applyAlignment="1">
      <alignment horizontal="left" vertical="center" textRotation="180"/>
    </xf>
    <xf numFmtId="0" fontId="37" fillId="0" borderId="52" xfId="0" applyFont="1" applyBorder="1" applyAlignment="1">
      <alignment horizontal="center" vertical="center" textRotation="180"/>
    </xf>
    <xf numFmtId="0" fontId="38" fillId="0" borderId="4" xfId="0" applyFont="1" applyBorder="1" applyAlignment="1">
      <alignment horizontal="right" vertical="center" textRotation="180"/>
    </xf>
    <xf numFmtId="0" fontId="38" fillId="0" borderId="3" xfId="0" applyFont="1" applyBorder="1" applyAlignment="1">
      <alignment horizontal="left" vertical="center" textRotation="180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 textRotation="180"/>
    </xf>
    <xf numFmtId="0" fontId="4" fillId="0" borderId="16" xfId="0" applyFont="1" applyBorder="1" applyAlignment="1">
      <alignment horizontal="center" vertical="center" textRotation="180"/>
    </xf>
    <xf numFmtId="0" fontId="4" fillId="0" borderId="16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right"/>
    </xf>
    <xf numFmtId="0" fontId="25" fillId="0" borderId="0" xfId="0" quotePrefix="1" applyFont="1" applyBorder="1" applyAlignment="1">
      <alignment horizontal="right"/>
    </xf>
    <xf numFmtId="0" fontId="25" fillId="0" borderId="0" xfId="0" quotePrefix="1" applyFont="1" applyBorder="1" applyAlignment="1">
      <alignment horizontal="left"/>
    </xf>
    <xf numFmtId="0" fontId="25" fillId="0" borderId="0" xfId="0" applyFont="1" applyBorder="1" applyAlignment="1">
      <alignment horizontal="right"/>
    </xf>
    <xf numFmtId="0" fontId="25" fillId="0" borderId="0" xfId="0" applyFont="1" applyBorder="1" applyAlignment="1">
      <alignment horizontal="left"/>
    </xf>
    <xf numFmtId="0" fontId="2" fillId="0" borderId="0" xfId="0" applyFont="1" applyBorder="1"/>
    <xf numFmtId="0" fontId="2" fillId="0" borderId="0" xfId="0" applyFont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257175</xdr:colOff>
      <xdr:row>1</xdr:row>
      <xdr:rowOff>171450</xdr:rowOff>
    </xdr:from>
    <xdr:to>
      <xdr:col>25</xdr:col>
      <xdr:colOff>476250</xdr:colOff>
      <xdr:row>27</xdr:row>
      <xdr:rowOff>57150</xdr:rowOff>
    </xdr:to>
    <xdr:pic>
      <xdr:nvPicPr>
        <xdr:cNvPr id="2" name="Picture 1" descr="ESP32 Pinout">
          <a:extLst>
            <a:ext uri="{FF2B5EF4-FFF2-40B4-BE49-F238E27FC236}">
              <a16:creationId xmlns:a16="http://schemas.microsoft.com/office/drawing/2014/main" id="{AE1DB622-BCAC-7B7B-95E3-D0ADA3FB0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5457825" y="361950"/>
          <a:ext cx="6924675" cy="483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601579</xdr:colOff>
      <xdr:row>2</xdr:row>
      <xdr:rowOff>176493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68D8BA-2E98-AD33-518A-B6B094E59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213184" cy="5574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170448</xdr:rowOff>
    </xdr:from>
    <xdr:to>
      <xdr:col>1</xdr:col>
      <xdr:colOff>272054</xdr:colOff>
      <xdr:row>5</xdr:row>
      <xdr:rowOff>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DE9E97-8771-755C-5D9F-1DD4007A4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1448"/>
          <a:ext cx="883659" cy="4060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01AFF-BE7B-4AE9-BECB-252D528E56D9}">
  <dimension ref="B4:BB44"/>
  <sheetViews>
    <sheetView zoomScale="85" zoomScaleNormal="85" workbookViewId="0">
      <selection activeCell="U26" sqref="U26:W44"/>
    </sheetView>
  </sheetViews>
  <sheetFormatPr defaultRowHeight="15"/>
  <cols>
    <col min="2" max="2" width="15.5703125" bestFit="1" customWidth="1"/>
    <col min="3" max="3" width="8.42578125" bestFit="1" customWidth="1"/>
    <col min="4" max="11" width="8.42578125" customWidth="1"/>
    <col min="12" max="12" width="7.7109375" customWidth="1"/>
    <col min="13" max="13" width="4.7109375" customWidth="1"/>
    <col min="14" max="14" width="4.85546875" customWidth="1"/>
    <col min="15" max="15" width="4.7109375" bestFit="1" customWidth="1"/>
    <col min="16" max="16" width="8" bestFit="1" customWidth="1"/>
    <col min="17" max="17" width="4" bestFit="1" customWidth="1"/>
    <col min="18" max="18" width="7.42578125" bestFit="1" customWidth="1"/>
    <col min="19" max="19" width="6.7109375" customWidth="1"/>
    <col min="20" max="20" width="6.7109375" bestFit="1" customWidth="1"/>
    <col min="21" max="21" width="5.140625" bestFit="1" customWidth="1"/>
    <col min="22" max="23" width="5.28515625" bestFit="1" customWidth="1"/>
    <col min="24" max="24" width="5.28515625" customWidth="1"/>
    <col min="25" max="25" width="6" bestFit="1" customWidth="1"/>
    <col min="26" max="26" width="6" customWidth="1"/>
    <col min="27" max="27" width="4.85546875" bestFit="1" customWidth="1"/>
    <col min="28" max="28" width="6.42578125" bestFit="1" customWidth="1"/>
    <col min="29" max="29" width="7.85546875" bestFit="1" customWidth="1"/>
    <col min="30" max="30" width="8.85546875" bestFit="1" customWidth="1"/>
    <col min="31" max="31" width="12.5703125" bestFit="1" customWidth="1"/>
    <col min="32" max="32" width="8.140625" bestFit="1" customWidth="1"/>
    <col min="33" max="33" width="8.28515625" bestFit="1" customWidth="1"/>
    <col min="34" max="35" width="8.28515625" customWidth="1"/>
    <col min="36" max="36" width="9.7109375" bestFit="1" customWidth="1"/>
    <col min="37" max="40" width="8.28515625" customWidth="1"/>
  </cols>
  <sheetData>
    <row r="4" spans="2:54">
      <c r="E4" s="1" t="s">
        <v>487</v>
      </c>
      <c r="L4" s="256" t="s">
        <v>350</v>
      </c>
      <c r="M4" s="256"/>
      <c r="N4" s="256"/>
      <c r="O4" s="256"/>
      <c r="P4" s="256"/>
      <c r="Q4" s="256"/>
      <c r="R4" s="257" t="s">
        <v>337</v>
      </c>
      <c r="S4" s="257"/>
      <c r="T4" s="258" t="s">
        <v>346</v>
      </c>
      <c r="U4" s="258"/>
      <c r="V4" s="258"/>
      <c r="W4" s="261" t="s">
        <v>580</v>
      </c>
      <c r="X4" s="262"/>
      <c r="Y4" s="262"/>
      <c r="Z4" s="263"/>
      <c r="AA4" s="261" t="s">
        <v>331</v>
      </c>
      <c r="AB4" s="262"/>
      <c r="AC4" s="263"/>
      <c r="AD4" s="154"/>
      <c r="AE4" s="154"/>
      <c r="AF4" s="154"/>
      <c r="AG4" s="154"/>
      <c r="AH4" s="154"/>
      <c r="AI4" s="154"/>
      <c r="AJ4" s="261" t="s">
        <v>585</v>
      </c>
      <c r="AK4" s="262"/>
      <c r="AL4" s="262"/>
      <c r="AM4" s="262"/>
      <c r="AN4" s="263"/>
      <c r="AO4" s="73"/>
      <c r="AP4" s="260" t="s">
        <v>381</v>
      </c>
      <c r="AQ4" s="260"/>
      <c r="AR4" s="260"/>
      <c r="AS4" s="260"/>
      <c r="AT4" s="260"/>
      <c r="AU4" s="260"/>
      <c r="AW4" s="80"/>
      <c r="AX4" s="80"/>
      <c r="AY4" s="259" t="s">
        <v>372</v>
      </c>
      <c r="AZ4" s="259"/>
      <c r="BA4" s="2"/>
      <c r="BB4" s="2"/>
    </row>
    <row r="5" spans="2:54">
      <c r="L5" s="75" t="s">
        <v>327</v>
      </c>
      <c r="M5" s="75"/>
      <c r="N5" s="75" t="s">
        <v>333</v>
      </c>
      <c r="O5" s="75" t="s">
        <v>328</v>
      </c>
      <c r="P5" s="75" t="s">
        <v>334</v>
      </c>
      <c r="Q5" s="75" t="s">
        <v>335</v>
      </c>
      <c r="R5" s="76" t="s">
        <v>329</v>
      </c>
      <c r="S5" s="76" t="s">
        <v>330</v>
      </c>
      <c r="T5" s="77" t="s">
        <v>370</v>
      </c>
      <c r="U5" s="77" t="s">
        <v>347</v>
      </c>
      <c r="V5" s="77" t="s">
        <v>348</v>
      </c>
      <c r="W5" s="155" t="s">
        <v>354</v>
      </c>
      <c r="X5" s="78" t="s">
        <v>579</v>
      </c>
      <c r="Y5" s="78" t="s">
        <v>355</v>
      </c>
      <c r="Z5" s="156" t="s">
        <v>356</v>
      </c>
      <c r="AA5" s="155" t="s">
        <v>581</v>
      </c>
      <c r="AB5" s="78" t="s">
        <v>347</v>
      </c>
      <c r="AC5" s="156" t="s">
        <v>582</v>
      </c>
      <c r="AD5" s="78" t="s">
        <v>332</v>
      </c>
      <c r="AE5" s="78" t="s">
        <v>586</v>
      </c>
      <c r="AF5" s="78"/>
      <c r="AG5" s="78"/>
      <c r="AH5" s="78"/>
      <c r="AI5" s="78"/>
      <c r="AJ5" s="155" t="s">
        <v>583</v>
      </c>
      <c r="AK5" s="78" t="s">
        <v>584</v>
      </c>
      <c r="AL5" s="78" t="s">
        <v>369</v>
      </c>
      <c r="AM5" s="78" t="s">
        <v>340</v>
      </c>
      <c r="AN5" s="156" t="s">
        <v>341</v>
      </c>
      <c r="AO5" s="78" t="s">
        <v>488</v>
      </c>
      <c r="AP5" s="78" t="s">
        <v>379</v>
      </c>
      <c r="AQ5" s="78" t="s">
        <v>382</v>
      </c>
      <c r="AR5" s="78" t="s">
        <v>383</v>
      </c>
      <c r="AS5" s="78" t="s">
        <v>384</v>
      </c>
      <c r="AT5" s="78" t="s">
        <v>385</v>
      </c>
      <c r="AU5" s="78" t="s">
        <v>386</v>
      </c>
      <c r="AV5" s="4"/>
      <c r="AW5" s="83" t="s">
        <v>371</v>
      </c>
      <c r="AX5" s="83" t="s">
        <v>375</v>
      </c>
      <c r="AY5" s="83" t="s">
        <v>373</v>
      </c>
      <c r="AZ5" s="83" t="s">
        <v>374</v>
      </c>
      <c r="BA5" s="2"/>
      <c r="BB5" s="2"/>
    </row>
    <row r="6" spans="2:54">
      <c r="B6" s="41" t="s">
        <v>320</v>
      </c>
      <c r="C6" s="41" t="s">
        <v>377</v>
      </c>
      <c r="D6" s="41" t="s">
        <v>231</v>
      </c>
      <c r="E6" s="117" t="s">
        <v>490</v>
      </c>
      <c r="F6" s="117" t="s">
        <v>491</v>
      </c>
      <c r="G6" s="117" t="s">
        <v>492</v>
      </c>
      <c r="H6" s="117" t="s">
        <v>493</v>
      </c>
      <c r="I6" s="41"/>
      <c r="J6" s="41"/>
      <c r="K6" s="41"/>
      <c r="L6" s="65" t="s">
        <v>345</v>
      </c>
      <c r="M6" s="65"/>
      <c r="N6" s="65"/>
      <c r="O6" s="65"/>
      <c r="P6" s="65"/>
      <c r="Q6" s="65"/>
      <c r="R6" s="67"/>
      <c r="S6" s="67"/>
      <c r="T6" s="69"/>
      <c r="U6" s="69"/>
      <c r="V6" s="69"/>
      <c r="W6" s="71" t="s">
        <v>345</v>
      </c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 t="s">
        <v>349</v>
      </c>
      <c r="AK6" s="71" t="s">
        <v>345</v>
      </c>
      <c r="AL6" s="71"/>
      <c r="AM6" s="71" t="s">
        <v>345</v>
      </c>
      <c r="AN6" s="71"/>
      <c r="AO6" s="71"/>
      <c r="AP6" s="71"/>
      <c r="AQ6" s="71"/>
      <c r="AR6" s="71"/>
      <c r="AS6" s="71"/>
      <c r="AT6" s="71"/>
      <c r="AU6" s="71"/>
      <c r="AV6" s="4"/>
      <c r="AW6" s="81" t="s">
        <v>342</v>
      </c>
      <c r="AX6" s="81"/>
      <c r="AY6" s="81" t="s">
        <v>342</v>
      </c>
      <c r="AZ6" s="81"/>
      <c r="BA6" s="2"/>
      <c r="BB6" s="2"/>
    </row>
    <row r="7" spans="2:54">
      <c r="B7" s="41" t="s">
        <v>321</v>
      </c>
      <c r="C7" s="41" t="s">
        <v>377</v>
      </c>
      <c r="D7" s="41" t="s">
        <v>99</v>
      </c>
      <c r="E7" s="117" t="s">
        <v>490</v>
      </c>
      <c r="F7" s="117" t="s">
        <v>491</v>
      </c>
      <c r="G7" s="117" t="s">
        <v>492</v>
      </c>
      <c r="H7" s="117" t="s">
        <v>493</v>
      </c>
      <c r="I7" s="41"/>
      <c r="J7" s="41"/>
      <c r="K7" s="41"/>
      <c r="L7" s="65"/>
      <c r="M7" s="65"/>
      <c r="N7" s="65" t="s">
        <v>345</v>
      </c>
      <c r="O7" s="65"/>
      <c r="P7" s="65" t="s">
        <v>345</v>
      </c>
      <c r="Q7" s="65"/>
      <c r="R7" s="67"/>
      <c r="S7" s="67"/>
      <c r="T7" s="69"/>
      <c r="U7" s="69"/>
      <c r="V7" s="69"/>
      <c r="W7" s="71" t="s">
        <v>345</v>
      </c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 t="s">
        <v>345</v>
      </c>
      <c r="AK7" s="71" t="s">
        <v>345</v>
      </c>
      <c r="AL7" s="71"/>
      <c r="AM7" s="71"/>
      <c r="AN7" s="71" t="s">
        <v>345</v>
      </c>
      <c r="AO7" s="71"/>
      <c r="AP7" s="71"/>
      <c r="AQ7" s="71"/>
      <c r="AR7" s="71"/>
      <c r="AS7" s="71"/>
      <c r="AT7" s="71"/>
      <c r="AU7" s="71"/>
      <c r="AV7" s="4"/>
      <c r="AW7" s="81" t="s">
        <v>342</v>
      </c>
      <c r="AX7" s="81"/>
      <c r="AY7" s="81" t="s">
        <v>342</v>
      </c>
      <c r="AZ7" s="81"/>
      <c r="BA7" s="2"/>
      <c r="BB7" s="2"/>
    </row>
    <row r="8" spans="2:54">
      <c r="B8" s="41" t="s">
        <v>322</v>
      </c>
      <c r="C8" s="41" t="s">
        <v>377</v>
      </c>
      <c r="D8" s="41" t="s">
        <v>99</v>
      </c>
      <c r="E8" s="117" t="s">
        <v>490</v>
      </c>
      <c r="F8" s="117" t="s">
        <v>491</v>
      </c>
      <c r="G8" s="117" t="s">
        <v>492</v>
      </c>
      <c r="H8" s="117" t="s">
        <v>493</v>
      </c>
      <c r="I8" s="41"/>
      <c r="J8" s="41"/>
      <c r="K8" s="41"/>
      <c r="L8" s="65"/>
      <c r="M8" s="65"/>
      <c r="N8" s="65"/>
      <c r="O8" s="65" t="s">
        <v>345</v>
      </c>
      <c r="P8" s="65" t="s">
        <v>345</v>
      </c>
      <c r="Q8" s="65"/>
      <c r="R8" s="67"/>
      <c r="S8" s="67"/>
      <c r="T8" s="69"/>
      <c r="U8" s="69" t="s">
        <v>345</v>
      </c>
      <c r="V8" s="69"/>
      <c r="W8" s="71" t="s">
        <v>345</v>
      </c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 t="s">
        <v>345</v>
      </c>
      <c r="AK8" s="71" t="s">
        <v>345</v>
      </c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4"/>
      <c r="AW8" s="81" t="s">
        <v>342</v>
      </c>
      <c r="AX8" s="81"/>
      <c r="AY8" s="81" t="s">
        <v>342</v>
      </c>
      <c r="AZ8" s="81"/>
      <c r="BA8" s="2"/>
      <c r="BB8" s="2"/>
    </row>
    <row r="9" spans="2:54">
      <c r="B9" s="41" t="s">
        <v>323</v>
      </c>
      <c r="C9" s="41" t="s">
        <v>378</v>
      </c>
      <c r="D9" s="41"/>
      <c r="E9" s="41">
        <v>4</v>
      </c>
      <c r="F9" s="41">
        <v>5</v>
      </c>
      <c r="G9" s="41">
        <v>16</v>
      </c>
      <c r="H9" s="41">
        <v>17</v>
      </c>
      <c r="I9" s="41">
        <v>18</v>
      </c>
      <c r="J9" s="41">
        <v>23</v>
      </c>
      <c r="K9" s="41"/>
      <c r="L9" s="65"/>
      <c r="M9" s="65"/>
      <c r="N9" s="65"/>
      <c r="O9" s="65"/>
      <c r="P9" s="65"/>
      <c r="Q9" s="65"/>
      <c r="R9" s="67"/>
      <c r="S9" s="67"/>
      <c r="T9" s="69"/>
      <c r="U9" s="69"/>
      <c r="V9" s="69"/>
      <c r="W9" s="71" t="s">
        <v>345</v>
      </c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 t="s">
        <v>345</v>
      </c>
      <c r="AR9" s="71" t="s">
        <v>345</v>
      </c>
      <c r="AS9" s="71" t="s">
        <v>345</v>
      </c>
      <c r="AT9" s="71"/>
      <c r="AU9" s="71"/>
      <c r="AV9" s="4"/>
      <c r="AW9" s="81" t="s">
        <v>342</v>
      </c>
      <c r="AX9" s="81"/>
      <c r="AY9" s="81"/>
      <c r="AZ9" s="81"/>
      <c r="BA9" s="2"/>
      <c r="BB9" s="2"/>
    </row>
    <row r="10" spans="2:54">
      <c r="B10" s="41" t="s">
        <v>324</v>
      </c>
      <c r="C10" s="41" t="s">
        <v>377</v>
      </c>
      <c r="D10" s="41"/>
      <c r="E10" s="125" t="s">
        <v>494</v>
      </c>
      <c r="F10" s="41"/>
      <c r="G10" s="41"/>
      <c r="H10" s="41"/>
      <c r="I10" s="41"/>
      <c r="J10" s="41"/>
      <c r="K10" s="41"/>
      <c r="L10" s="65"/>
      <c r="M10" s="65"/>
      <c r="N10" s="65"/>
      <c r="O10" s="65"/>
      <c r="P10" s="65"/>
      <c r="Q10" s="65"/>
      <c r="R10" s="67"/>
      <c r="S10" s="67"/>
      <c r="T10" s="69"/>
      <c r="U10" s="69"/>
      <c r="V10" s="69"/>
      <c r="W10" s="79" t="s">
        <v>344</v>
      </c>
      <c r="X10" s="79"/>
      <c r="Y10" s="79" t="s">
        <v>344</v>
      </c>
      <c r="Z10" s="79"/>
      <c r="AA10" s="79" t="s">
        <v>344</v>
      </c>
      <c r="AB10" s="79"/>
      <c r="AC10" s="79"/>
      <c r="AD10" s="79" t="s">
        <v>344</v>
      </c>
      <c r="AE10" s="79"/>
      <c r="AF10" s="79"/>
      <c r="AG10" s="79"/>
      <c r="AH10" s="79"/>
      <c r="AI10" s="79"/>
      <c r="AJ10" s="79" t="s">
        <v>344</v>
      </c>
      <c r="AK10" s="79" t="s">
        <v>344</v>
      </c>
      <c r="AL10" s="79" t="s">
        <v>344</v>
      </c>
      <c r="AM10" s="79" t="s">
        <v>344</v>
      </c>
      <c r="AN10" s="79" t="s">
        <v>344</v>
      </c>
      <c r="AO10" s="79" t="s">
        <v>489</v>
      </c>
      <c r="AP10" s="79" t="s">
        <v>344</v>
      </c>
      <c r="AQ10" s="79" t="s">
        <v>344</v>
      </c>
      <c r="AR10" s="79" t="s">
        <v>344</v>
      </c>
      <c r="AS10" s="79" t="s">
        <v>344</v>
      </c>
      <c r="AT10" s="79" t="s">
        <v>344</v>
      </c>
      <c r="AU10" s="79" t="s">
        <v>344</v>
      </c>
      <c r="AV10" s="4"/>
      <c r="AW10" s="82" t="s">
        <v>342</v>
      </c>
      <c r="AX10" s="82" t="s">
        <v>342</v>
      </c>
      <c r="AY10" s="81" t="s">
        <v>342</v>
      </c>
      <c r="AZ10" s="81"/>
      <c r="BA10" s="2"/>
      <c r="BB10" s="2"/>
    </row>
    <row r="11" spans="2:54">
      <c r="B11" s="41" t="s">
        <v>325</v>
      </c>
      <c r="C11" s="41" t="s">
        <v>378</v>
      </c>
      <c r="D11" s="41"/>
      <c r="E11" s="41"/>
      <c r="F11" s="41"/>
      <c r="G11" s="41"/>
      <c r="H11" s="117" t="s">
        <v>493</v>
      </c>
      <c r="I11" s="41"/>
      <c r="J11" s="41"/>
      <c r="K11" s="41"/>
      <c r="L11" s="65"/>
      <c r="M11" s="65"/>
      <c r="N11" s="65"/>
      <c r="O11" s="65"/>
      <c r="P11" s="65"/>
      <c r="Q11" s="65"/>
      <c r="R11" s="67"/>
      <c r="S11" s="67"/>
      <c r="T11" s="69"/>
      <c r="U11" s="69"/>
      <c r="V11" s="69"/>
      <c r="W11" s="71"/>
      <c r="X11" s="71"/>
      <c r="Y11" s="71" t="s">
        <v>345</v>
      </c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 t="s">
        <v>345</v>
      </c>
      <c r="AK11" s="71" t="s">
        <v>345</v>
      </c>
      <c r="AL11" s="71"/>
      <c r="AM11" s="71" t="s">
        <v>345</v>
      </c>
      <c r="AN11" s="71"/>
      <c r="AO11" s="71"/>
      <c r="AP11" s="71"/>
      <c r="AQ11" s="71"/>
      <c r="AR11" s="71"/>
      <c r="AS11" s="71"/>
      <c r="AT11" s="71"/>
      <c r="AU11" s="71"/>
      <c r="AV11" s="4"/>
      <c r="AW11" s="81" t="s">
        <v>342</v>
      </c>
      <c r="AX11" s="81"/>
      <c r="AY11" s="81"/>
      <c r="AZ11" s="81" t="s">
        <v>342</v>
      </c>
      <c r="BA11" s="2"/>
      <c r="BB11" s="2"/>
    </row>
    <row r="12" spans="2:54">
      <c r="B12" s="41" t="s">
        <v>326</v>
      </c>
      <c r="C12" s="41" t="s">
        <v>378</v>
      </c>
      <c r="D12" s="41"/>
      <c r="E12" s="41"/>
      <c r="F12" s="41"/>
      <c r="G12" s="41"/>
      <c r="H12" s="117" t="s">
        <v>493</v>
      </c>
      <c r="I12" s="41"/>
      <c r="J12" s="41"/>
      <c r="K12" s="41"/>
      <c r="L12" s="65"/>
      <c r="M12" s="65"/>
      <c r="N12" s="65"/>
      <c r="O12" s="65"/>
      <c r="P12" s="65"/>
      <c r="Q12" s="65"/>
      <c r="R12" s="67"/>
      <c r="S12" s="67"/>
      <c r="T12" s="69"/>
      <c r="U12" s="69"/>
      <c r="V12" s="69"/>
      <c r="W12" s="71"/>
      <c r="X12" s="71"/>
      <c r="Y12" s="71" t="s">
        <v>345</v>
      </c>
      <c r="Z12" s="71"/>
      <c r="AA12" s="71" t="s">
        <v>345</v>
      </c>
      <c r="AB12" s="71"/>
      <c r="AC12" s="71"/>
      <c r="AD12" s="71" t="s">
        <v>349</v>
      </c>
      <c r="AE12" s="71"/>
      <c r="AF12" s="71"/>
      <c r="AG12" s="71"/>
      <c r="AH12" s="71"/>
      <c r="AI12" s="71"/>
      <c r="AJ12" s="71" t="s">
        <v>345</v>
      </c>
      <c r="AK12" s="71" t="s">
        <v>345</v>
      </c>
      <c r="AL12" s="71"/>
      <c r="AM12" s="71"/>
      <c r="AN12" s="71" t="s">
        <v>345</v>
      </c>
      <c r="AO12" s="71"/>
      <c r="AP12" s="71"/>
      <c r="AQ12" s="71"/>
      <c r="AR12" s="71"/>
      <c r="AS12" s="71"/>
      <c r="AT12" s="71"/>
      <c r="AU12" s="71"/>
      <c r="AV12" s="4"/>
      <c r="AW12" s="81" t="s">
        <v>342</v>
      </c>
      <c r="AX12" s="81"/>
      <c r="AY12" s="81"/>
      <c r="AZ12" s="81" t="s">
        <v>342</v>
      </c>
      <c r="BA12" s="2"/>
      <c r="BB12" s="2"/>
    </row>
    <row r="13" spans="2:54">
      <c r="B13" s="118" t="s">
        <v>343</v>
      </c>
      <c r="C13" s="119" t="s">
        <v>378</v>
      </c>
      <c r="D13" s="119"/>
      <c r="E13" s="119"/>
      <c r="F13" s="119"/>
      <c r="G13" s="119"/>
      <c r="H13" s="119"/>
      <c r="I13" s="119"/>
      <c r="J13" s="119"/>
      <c r="K13" s="120"/>
      <c r="L13" s="65"/>
      <c r="M13" s="65"/>
      <c r="N13" s="65"/>
      <c r="O13" s="65"/>
      <c r="P13" s="65"/>
      <c r="Q13" s="65"/>
      <c r="R13" s="79" t="s">
        <v>344</v>
      </c>
      <c r="S13" s="79" t="s">
        <v>344</v>
      </c>
      <c r="T13" s="79" t="s">
        <v>344</v>
      </c>
      <c r="U13" s="79" t="s">
        <v>344</v>
      </c>
      <c r="V13" s="79" t="s">
        <v>344</v>
      </c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4"/>
      <c r="AW13" s="81"/>
      <c r="AX13" s="81"/>
      <c r="AY13" s="81"/>
      <c r="AZ13" s="81"/>
      <c r="BA13" s="2"/>
      <c r="BB13" s="2"/>
    </row>
    <row r="14" spans="2:54">
      <c r="B14" s="121" t="s">
        <v>336</v>
      </c>
      <c r="C14" s="122" t="s">
        <v>377</v>
      </c>
      <c r="D14" s="122"/>
      <c r="E14" s="122"/>
      <c r="F14" s="122"/>
      <c r="G14" s="122"/>
      <c r="H14" s="122"/>
      <c r="I14" s="122"/>
      <c r="J14" s="122"/>
      <c r="K14" s="123"/>
      <c r="L14" s="66" t="s">
        <v>345</v>
      </c>
      <c r="M14" s="66"/>
      <c r="N14" s="66" t="s">
        <v>345</v>
      </c>
      <c r="O14" s="66" t="s">
        <v>345</v>
      </c>
      <c r="P14" s="66" t="s">
        <v>345</v>
      </c>
      <c r="Q14" s="66" t="s">
        <v>345</v>
      </c>
      <c r="R14" s="68" t="s">
        <v>345</v>
      </c>
      <c r="S14" s="68" t="s">
        <v>345</v>
      </c>
      <c r="T14" s="70" t="s">
        <v>345</v>
      </c>
      <c r="U14" s="70" t="s">
        <v>345</v>
      </c>
      <c r="V14" s="70" t="s">
        <v>345</v>
      </c>
      <c r="W14" s="72" t="s">
        <v>345</v>
      </c>
      <c r="X14" s="72"/>
      <c r="Y14" s="72" t="s">
        <v>345</v>
      </c>
      <c r="Z14" s="72"/>
      <c r="AA14" s="72" t="s">
        <v>345</v>
      </c>
      <c r="AB14" s="72"/>
      <c r="AC14" s="72"/>
      <c r="AD14" s="72" t="s">
        <v>345</v>
      </c>
      <c r="AE14" s="72"/>
      <c r="AF14" s="72"/>
      <c r="AG14" s="72"/>
      <c r="AH14" s="72"/>
      <c r="AI14" s="72"/>
      <c r="AJ14" s="72" t="s">
        <v>345</v>
      </c>
      <c r="AK14" s="72" t="s">
        <v>345</v>
      </c>
      <c r="AL14" s="72" t="s">
        <v>345</v>
      </c>
      <c r="AM14" s="72" t="s">
        <v>345</v>
      </c>
      <c r="AN14" s="72" t="s">
        <v>345</v>
      </c>
      <c r="AO14" s="72" t="s">
        <v>345</v>
      </c>
      <c r="AP14" s="72" t="s">
        <v>345</v>
      </c>
      <c r="AQ14" s="72"/>
      <c r="AR14" s="72"/>
      <c r="AS14" s="72"/>
      <c r="AT14" s="72" t="s">
        <v>345</v>
      </c>
      <c r="AU14" s="72" t="s">
        <v>345</v>
      </c>
      <c r="AW14" s="81"/>
      <c r="AX14" s="81"/>
      <c r="AY14" s="81" t="s">
        <v>376</v>
      </c>
      <c r="AZ14" s="81"/>
      <c r="BA14" s="2"/>
      <c r="BB14" s="2"/>
    </row>
    <row r="23" spans="4:50">
      <c r="AQ23" s="74" t="s">
        <v>357</v>
      </c>
      <c r="AR23" s="74" t="s">
        <v>352</v>
      </c>
      <c r="AS23" s="74" t="s">
        <v>358</v>
      </c>
      <c r="AT23" s="74" t="s">
        <v>359</v>
      </c>
      <c r="AU23" s="74" t="s">
        <v>365</v>
      </c>
      <c r="AV23" s="74" t="s">
        <v>366</v>
      </c>
      <c r="AW23" s="74" t="s">
        <v>367</v>
      </c>
      <c r="AX23" s="74" t="s">
        <v>368</v>
      </c>
    </row>
    <row r="24" spans="4:50">
      <c r="D24" s="41" t="s">
        <v>324</v>
      </c>
      <c r="AP24" s="41" t="s">
        <v>351</v>
      </c>
      <c r="AQ24" s="2" t="s">
        <v>353</v>
      </c>
      <c r="AR24" s="2" t="s">
        <v>354</v>
      </c>
      <c r="AS24" s="2" t="s">
        <v>355</v>
      </c>
      <c r="AT24" s="2" t="s">
        <v>356</v>
      </c>
      <c r="AU24" s="2"/>
      <c r="AV24" s="2"/>
      <c r="AW24" s="2"/>
      <c r="AX24" s="2"/>
    </row>
    <row r="25" spans="4:50">
      <c r="J25" s="137" t="s">
        <v>434</v>
      </c>
      <c r="K25" s="2"/>
      <c r="AB25" s="41" t="s">
        <v>360</v>
      </c>
      <c r="AC25" s="2" t="s">
        <v>353</v>
      </c>
      <c r="AD25" s="2" t="s">
        <v>355</v>
      </c>
      <c r="AE25" s="2" t="s">
        <v>361</v>
      </c>
      <c r="AF25" s="2" t="s">
        <v>362</v>
      </c>
      <c r="AG25" s="2" t="s">
        <v>363</v>
      </c>
      <c r="AH25" s="2" t="s">
        <v>364</v>
      </c>
      <c r="AI25" s="2"/>
      <c r="AJ25" s="2"/>
    </row>
    <row r="26" spans="4:50">
      <c r="F26" s="136" t="s">
        <v>525</v>
      </c>
      <c r="G26" s="109" t="s">
        <v>437</v>
      </c>
      <c r="H26" s="116">
        <v>20</v>
      </c>
      <c r="I26" s="106" t="s">
        <v>468</v>
      </c>
      <c r="J26" s="104"/>
      <c r="K26" s="106" t="s">
        <v>468</v>
      </c>
      <c r="L26" s="115">
        <v>19</v>
      </c>
      <c r="M26" s="103" t="s">
        <v>451</v>
      </c>
      <c r="N26" s="136"/>
      <c r="U26" s="1" t="s">
        <v>451</v>
      </c>
      <c r="V26">
        <v>1</v>
      </c>
      <c r="W26" s="40" t="s">
        <v>437</v>
      </c>
      <c r="AB26" s="41" t="s">
        <v>331</v>
      </c>
      <c r="AC26" s="2" t="s">
        <v>353</v>
      </c>
      <c r="AD26" s="2" t="s">
        <v>354</v>
      </c>
      <c r="AE26" s="2"/>
      <c r="AF26" s="2"/>
      <c r="AG26" s="2"/>
      <c r="AH26" s="2"/>
      <c r="AI26" s="2"/>
      <c r="AJ26" s="2"/>
    </row>
    <row r="27" spans="4:50">
      <c r="F27" s="136" t="s">
        <v>526</v>
      </c>
      <c r="G27" s="109" t="s">
        <v>438</v>
      </c>
      <c r="H27" s="116">
        <v>21</v>
      </c>
      <c r="I27" s="92" t="s">
        <v>469</v>
      </c>
      <c r="J27" s="2"/>
      <c r="K27" s="92" t="s">
        <v>469</v>
      </c>
      <c r="L27" s="115">
        <v>18</v>
      </c>
      <c r="M27" s="112" t="s">
        <v>452</v>
      </c>
      <c r="N27" s="136" t="s">
        <v>518</v>
      </c>
      <c r="U27" t="s">
        <v>452</v>
      </c>
      <c r="V27">
        <v>2</v>
      </c>
      <c r="W27" s="40" t="s">
        <v>438</v>
      </c>
      <c r="AB27" s="41" t="s">
        <v>379</v>
      </c>
      <c r="AC27" s="2" t="s">
        <v>380</v>
      </c>
      <c r="AD27">
        <v>1</v>
      </c>
      <c r="AE27">
        <v>2</v>
      </c>
      <c r="AF27">
        <v>3</v>
      </c>
      <c r="AG27">
        <v>4</v>
      </c>
    </row>
    <row r="28" spans="4:50">
      <c r="F28" s="136" t="s">
        <v>527</v>
      </c>
      <c r="G28" s="109" t="s">
        <v>439</v>
      </c>
      <c r="H28" s="116">
        <v>22</v>
      </c>
      <c r="I28" s="92" t="s">
        <v>470</v>
      </c>
      <c r="J28" s="2"/>
      <c r="K28" s="92" t="s">
        <v>470</v>
      </c>
      <c r="L28" s="115">
        <v>17</v>
      </c>
      <c r="M28" s="112" t="s">
        <v>453</v>
      </c>
      <c r="N28" s="136" t="s">
        <v>520</v>
      </c>
      <c r="U28" t="s">
        <v>453</v>
      </c>
      <c r="V28">
        <v>3</v>
      </c>
      <c r="W28" s="40" t="s">
        <v>439</v>
      </c>
    </row>
    <row r="29" spans="4:50">
      <c r="F29" s="136" t="s">
        <v>528</v>
      </c>
      <c r="G29" s="111" t="s">
        <v>440</v>
      </c>
      <c r="H29" s="116">
        <v>23</v>
      </c>
      <c r="I29" s="92" t="s">
        <v>471</v>
      </c>
      <c r="J29" s="2"/>
      <c r="K29" s="92" t="s">
        <v>471</v>
      </c>
      <c r="L29" s="115">
        <v>16</v>
      </c>
      <c r="M29" s="129" t="s">
        <v>454</v>
      </c>
      <c r="N29" s="139" t="s">
        <v>522</v>
      </c>
      <c r="O29" s="140" t="s">
        <v>507</v>
      </c>
      <c r="U29" t="s">
        <v>454</v>
      </c>
      <c r="V29">
        <v>4</v>
      </c>
      <c r="W29" s="40" t="s">
        <v>440</v>
      </c>
    </row>
    <row r="30" spans="4:50">
      <c r="F30" s="136" t="s">
        <v>529</v>
      </c>
      <c r="G30" s="109" t="s">
        <v>441</v>
      </c>
      <c r="H30" s="116">
        <v>24</v>
      </c>
      <c r="I30" s="92" t="s">
        <v>472</v>
      </c>
      <c r="J30" s="2"/>
      <c r="K30" s="92" t="s">
        <v>472</v>
      </c>
      <c r="L30" s="115">
        <v>15</v>
      </c>
      <c r="M30" s="130" t="s">
        <v>394</v>
      </c>
      <c r="N30" s="141" t="s">
        <v>523</v>
      </c>
      <c r="O30" s="142" t="s">
        <v>506</v>
      </c>
      <c r="U30" t="s">
        <v>394</v>
      </c>
      <c r="V30">
        <v>5</v>
      </c>
      <c r="W30" s="40" t="s">
        <v>441</v>
      </c>
    </row>
    <row r="31" spans="4:50">
      <c r="F31" s="136" t="s">
        <v>519</v>
      </c>
      <c r="G31" s="109" t="s">
        <v>442</v>
      </c>
      <c r="H31" s="116">
        <v>25</v>
      </c>
      <c r="I31" s="92" t="s">
        <v>473</v>
      </c>
      <c r="J31" s="2"/>
      <c r="K31" s="92" t="s">
        <v>473</v>
      </c>
      <c r="L31" s="115">
        <v>14</v>
      </c>
      <c r="M31" s="103" t="s">
        <v>313</v>
      </c>
      <c r="N31" s="136"/>
      <c r="U31" s="1" t="s">
        <v>313</v>
      </c>
      <c r="V31">
        <v>6</v>
      </c>
      <c r="W31" s="40" t="s">
        <v>442</v>
      </c>
    </row>
    <row r="32" spans="4:50">
      <c r="E32" s="126" t="s">
        <v>495</v>
      </c>
      <c r="F32" s="138" t="s">
        <v>530</v>
      </c>
      <c r="G32" s="127" t="s">
        <v>443</v>
      </c>
      <c r="H32" s="116">
        <v>26</v>
      </c>
      <c r="I32" s="92" t="s">
        <v>474</v>
      </c>
      <c r="J32" s="2"/>
      <c r="K32" s="92" t="s">
        <v>474</v>
      </c>
      <c r="L32" s="115">
        <v>13</v>
      </c>
      <c r="M32" s="131" t="s">
        <v>395</v>
      </c>
      <c r="N32" s="139" t="s">
        <v>524</v>
      </c>
      <c r="O32" s="140" t="s">
        <v>499</v>
      </c>
      <c r="U32" t="s">
        <v>395</v>
      </c>
      <c r="V32">
        <v>7</v>
      </c>
      <c r="W32" s="40" t="s">
        <v>443</v>
      </c>
    </row>
    <row r="33" spans="5:23">
      <c r="F33" s="136" t="s">
        <v>531</v>
      </c>
      <c r="G33" s="111" t="s">
        <v>387</v>
      </c>
      <c r="H33" s="116">
        <v>27</v>
      </c>
      <c r="I33" s="92" t="s">
        <v>475</v>
      </c>
      <c r="J33" s="2"/>
      <c r="K33" s="92" t="s">
        <v>475</v>
      </c>
      <c r="L33" s="115">
        <v>12</v>
      </c>
      <c r="M33" s="132" t="s">
        <v>396</v>
      </c>
      <c r="N33" s="136" t="s">
        <v>517</v>
      </c>
      <c r="O33" s="143" t="s">
        <v>500</v>
      </c>
      <c r="U33" t="s">
        <v>396</v>
      </c>
      <c r="V33">
        <v>8</v>
      </c>
      <c r="W33" s="40" t="s">
        <v>387</v>
      </c>
    </row>
    <row r="34" spans="5:23">
      <c r="F34" s="136" t="s">
        <v>521</v>
      </c>
      <c r="G34" s="111" t="s">
        <v>444</v>
      </c>
      <c r="H34" s="116">
        <v>28</v>
      </c>
      <c r="I34" s="92" t="s">
        <v>476</v>
      </c>
      <c r="J34" s="2"/>
      <c r="K34" s="92" t="s">
        <v>476</v>
      </c>
      <c r="L34" s="115">
        <v>11</v>
      </c>
      <c r="M34" s="133" t="s">
        <v>397</v>
      </c>
      <c r="N34" s="136" t="s">
        <v>516</v>
      </c>
      <c r="O34" s="143" t="s">
        <v>501</v>
      </c>
      <c r="U34" t="s">
        <v>397</v>
      </c>
      <c r="V34">
        <v>9</v>
      </c>
      <c r="W34" s="40" t="s">
        <v>444</v>
      </c>
    </row>
    <row r="35" spans="5:23">
      <c r="E35" s="126" t="s">
        <v>496</v>
      </c>
      <c r="F35" s="138" t="s">
        <v>532</v>
      </c>
      <c r="G35" s="127" t="s">
        <v>445</v>
      </c>
      <c r="H35" s="116">
        <v>29</v>
      </c>
      <c r="I35" s="92" t="s">
        <v>477</v>
      </c>
      <c r="J35" s="2"/>
      <c r="K35" s="92" t="s">
        <v>477</v>
      </c>
      <c r="L35" s="115">
        <v>10</v>
      </c>
      <c r="M35" s="133" t="s">
        <v>455</v>
      </c>
      <c r="N35" s="136" t="s">
        <v>515</v>
      </c>
      <c r="O35" s="143" t="s">
        <v>502</v>
      </c>
      <c r="U35" t="s">
        <v>455</v>
      </c>
      <c r="V35">
        <v>10</v>
      </c>
      <c r="W35" s="40" t="s">
        <v>445</v>
      </c>
    </row>
    <row r="36" spans="5:23">
      <c r="F36" s="136" t="s">
        <v>533</v>
      </c>
      <c r="G36" s="111" t="s">
        <v>398</v>
      </c>
      <c r="H36" s="116">
        <v>30</v>
      </c>
      <c r="I36" s="92" t="s">
        <v>478</v>
      </c>
      <c r="J36" s="2"/>
      <c r="K36" s="92" t="s">
        <v>478</v>
      </c>
      <c r="L36" s="115">
        <v>9</v>
      </c>
      <c r="M36" s="133" t="s">
        <v>456</v>
      </c>
      <c r="N36" s="136" t="s">
        <v>514</v>
      </c>
      <c r="O36" s="143" t="s">
        <v>332</v>
      </c>
      <c r="U36" t="s">
        <v>456</v>
      </c>
      <c r="V36">
        <v>11</v>
      </c>
      <c r="W36" s="40" t="s">
        <v>398</v>
      </c>
    </row>
    <row r="37" spans="5:23">
      <c r="F37" s="136" t="s">
        <v>534</v>
      </c>
      <c r="G37" s="111" t="s">
        <v>446</v>
      </c>
      <c r="H37" s="116">
        <v>31</v>
      </c>
      <c r="I37" s="92" t="s">
        <v>479</v>
      </c>
      <c r="J37" s="2"/>
      <c r="K37" s="92" t="s">
        <v>479</v>
      </c>
      <c r="L37" s="115">
        <v>8</v>
      </c>
      <c r="M37" s="134" t="s">
        <v>457</v>
      </c>
      <c r="N37" s="136" t="s">
        <v>513</v>
      </c>
      <c r="O37" s="143" t="s">
        <v>338</v>
      </c>
      <c r="U37" t="s">
        <v>457</v>
      </c>
      <c r="V37">
        <v>12</v>
      </c>
      <c r="W37" s="40" t="s">
        <v>446</v>
      </c>
    </row>
    <row r="38" spans="5:23">
      <c r="F38" s="136"/>
      <c r="G38" s="102" t="s">
        <v>313</v>
      </c>
      <c r="H38" s="116">
        <v>32</v>
      </c>
      <c r="I38" s="92" t="s">
        <v>480</v>
      </c>
      <c r="J38" s="2"/>
      <c r="K38" s="92" t="s">
        <v>480</v>
      </c>
      <c r="L38" s="115">
        <v>7</v>
      </c>
      <c r="M38" s="134" t="s">
        <v>458</v>
      </c>
      <c r="N38" s="136" t="s">
        <v>512</v>
      </c>
      <c r="O38" s="143" t="s">
        <v>339</v>
      </c>
      <c r="U38" t="s">
        <v>458</v>
      </c>
      <c r="V38">
        <v>13</v>
      </c>
      <c r="W38" s="40" t="s">
        <v>313</v>
      </c>
    </row>
    <row r="39" spans="5:23">
      <c r="E39" s="126" t="s">
        <v>498</v>
      </c>
      <c r="F39" s="138" t="s">
        <v>498</v>
      </c>
      <c r="G39" s="128" t="s">
        <v>447</v>
      </c>
      <c r="H39" s="116">
        <v>33</v>
      </c>
      <c r="I39" s="92" t="s">
        <v>481</v>
      </c>
      <c r="J39" s="2"/>
      <c r="K39" s="92" t="s">
        <v>481</v>
      </c>
      <c r="L39" s="115">
        <v>6</v>
      </c>
      <c r="M39" s="134" t="s">
        <v>459</v>
      </c>
      <c r="N39" s="136" t="s">
        <v>511</v>
      </c>
      <c r="O39" s="143" t="s">
        <v>503</v>
      </c>
      <c r="U39" t="s">
        <v>459</v>
      </c>
      <c r="V39">
        <v>14</v>
      </c>
      <c r="W39" s="40" t="s">
        <v>447</v>
      </c>
    </row>
    <row r="40" spans="5:23">
      <c r="F40" s="136" t="s">
        <v>535</v>
      </c>
      <c r="G40" s="109" t="s">
        <v>448</v>
      </c>
      <c r="H40" s="116">
        <v>34</v>
      </c>
      <c r="I40" s="92" t="s">
        <v>482</v>
      </c>
      <c r="J40" s="2"/>
      <c r="K40" s="92" t="s">
        <v>482</v>
      </c>
      <c r="L40" s="115">
        <v>5</v>
      </c>
      <c r="M40" s="134" t="s">
        <v>460</v>
      </c>
      <c r="N40" s="136" t="s">
        <v>510</v>
      </c>
      <c r="O40" s="143" t="s">
        <v>504</v>
      </c>
      <c r="U40" t="s">
        <v>460</v>
      </c>
      <c r="V40">
        <v>15</v>
      </c>
      <c r="W40" s="40" t="s">
        <v>448</v>
      </c>
    </row>
    <row r="41" spans="5:23">
      <c r="F41" s="136" t="s">
        <v>536</v>
      </c>
      <c r="G41" s="109" t="s">
        <v>449</v>
      </c>
      <c r="H41" s="144">
        <v>35</v>
      </c>
      <c r="I41" s="92" t="s">
        <v>483</v>
      </c>
      <c r="J41" s="2"/>
      <c r="K41" s="92" t="s">
        <v>483</v>
      </c>
      <c r="L41" s="115">
        <v>4</v>
      </c>
      <c r="M41" s="134" t="s">
        <v>461</v>
      </c>
      <c r="N41" s="136" t="s">
        <v>509</v>
      </c>
      <c r="O41" s="143" t="s">
        <v>505</v>
      </c>
      <c r="U41" t="s">
        <v>461</v>
      </c>
      <c r="V41">
        <v>16</v>
      </c>
      <c r="W41" s="40" t="s">
        <v>449</v>
      </c>
    </row>
    <row r="42" spans="5:23">
      <c r="E42" s="126" t="s">
        <v>497</v>
      </c>
      <c r="F42" s="138" t="s">
        <v>537</v>
      </c>
      <c r="G42" s="145" t="s">
        <v>450</v>
      </c>
      <c r="H42" s="116">
        <v>36</v>
      </c>
      <c r="I42" s="92" t="s">
        <v>484</v>
      </c>
      <c r="J42" s="2"/>
      <c r="K42" s="92" t="s">
        <v>484</v>
      </c>
      <c r="L42" s="115">
        <v>3</v>
      </c>
      <c r="M42" s="135" t="s">
        <v>462</v>
      </c>
      <c r="N42" s="141" t="s">
        <v>508</v>
      </c>
      <c r="O42" s="142" t="s">
        <v>488</v>
      </c>
      <c r="U42" t="s">
        <v>462</v>
      </c>
      <c r="V42">
        <v>17</v>
      </c>
      <c r="W42" s="40" t="s">
        <v>450</v>
      </c>
    </row>
    <row r="43" spans="5:23">
      <c r="F43" s="138" t="s">
        <v>538</v>
      </c>
      <c r="G43" s="128" t="s">
        <v>399</v>
      </c>
      <c r="H43" s="116">
        <v>37</v>
      </c>
      <c r="I43" s="92" t="s">
        <v>486</v>
      </c>
      <c r="J43" s="2"/>
      <c r="K43" s="92" t="s">
        <v>486</v>
      </c>
      <c r="L43" s="115">
        <v>2</v>
      </c>
      <c r="M43" s="1" t="s">
        <v>463</v>
      </c>
      <c r="N43" s="136"/>
      <c r="U43" s="1" t="s">
        <v>463</v>
      </c>
      <c r="V43">
        <v>18</v>
      </c>
      <c r="W43" s="40" t="s">
        <v>399</v>
      </c>
    </row>
    <row r="44" spans="5:23">
      <c r="F44" s="136"/>
      <c r="G44" s="102" t="s">
        <v>313</v>
      </c>
      <c r="H44" s="116">
        <v>38</v>
      </c>
      <c r="I44" s="107" t="s">
        <v>485</v>
      </c>
      <c r="J44" s="105" t="s">
        <v>465</v>
      </c>
      <c r="K44" s="107" t="s">
        <v>485</v>
      </c>
      <c r="L44" s="115">
        <v>1</v>
      </c>
      <c r="M44" s="103" t="s">
        <v>464</v>
      </c>
      <c r="N44" s="136"/>
      <c r="U44" s="1" t="s">
        <v>464</v>
      </c>
      <c r="V44">
        <v>19</v>
      </c>
      <c r="W44" s="40" t="s">
        <v>313</v>
      </c>
    </row>
  </sheetData>
  <mergeCells count="8">
    <mergeCell ref="L4:Q4"/>
    <mergeCell ref="R4:S4"/>
    <mergeCell ref="T4:V4"/>
    <mergeCell ref="AY4:AZ4"/>
    <mergeCell ref="AP4:AU4"/>
    <mergeCell ref="W4:Z4"/>
    <mergeCell ref="AA4:AC4"/>
    <mergeCell ref="AJ4:AN4"/>
  </mergeCells>
  <conditionalFormatting sqref="L6:AU14 AW10:AX10">
    <cfRule type="cellIs" dxfId="0" priority="1" operator="equal">
      <formula>"r"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D0B8C-043F-416A-8BC6-7215B498361F}">
  <dimension ref="A4:AA26"/>
  <sheetViews>
    <sheetView zoomScale="145" zoomScaleNormal="145" workbookViewId="0">
      <selection activeCell="W14" sqref="W14"/>
    </sheetView>
  </sheetViews>
  <sheetFormatPr defaultRowHeight="15"/>
  <cols>
    <col min="1" max="1" width="4.28515625" customWidth="1"/>
    <col min="2" max="2" width="2.7109375" style="2" bestFit="1" customWidth="1"/>
    <col min="3" max="3" width="4.140625" customWidth="1"/>
    <col min="4" max="4" width="3.42578125" customWidth="1"/>
    <col min="5" max="5" width="4.42578125" bestFit="1" customWidth="1"/>
    <col min="6" max="6" width="1.7109375" bestFit="1" customWidth="1"/>
    <col min="7" max="7" width="3.5703125" bestFit="1" customWidth="1"/>
    <col min="8" max="8" width="4.28515625" customWidth="1"/>
    <col min="9" max="9" width="4.42578125" bestFit="1" customWidth="1"/>
    <col min="10" max="10" width="1.7109375" bestFit="1" customWidth="1"/>
    <col min="11" max="11" width="3.5703125" bestFit="1" customWidth="1"/>
    <col min="12" max="12" width="3.5703125" customWidth="1"/>
    <col min="13" max="13" width="4.28515625" customWidth="1"/>
    <col min="14" max="14" width="2.7109375" style="2" bestFit="1" customWidth="1"/>
    <col min="15" max="15" width="4.140625" customWidth="1"/>
    <col min="16" max="16" width="3.42578125" customWidth="1"/>
    <col min="17" max="17" width="4.42578125" bestFit="1" customWidth="1"/>
    <col min="18" max="18" width="1.7109375" bestFit="1" customWidth="1"/>
    <col min="19" max="19" width="3.5703125" bestFit="1" customWidth="1"/>
    <col min="20" max="20" width="4.28515625" customWidth="1"/>
    <col min="21" max="21" width="4.42578125" bestFit="1" customWidth="1"/>
    <col min="22" max="22" width="3.5703125" bestFit="1" customWidth="1"/>
    <col min="23" max="23" width="4.7109375" bestFit="1" customWidth="1"/>
    <col min="24" max="24" width="3" customWidth="1"/>
    <col min="25" max="25" width="4.42578125" bestFit="1" customWidth="1"/>
    <col min="26" max="26" width="1.85546875" customWidth="1"/>
    <col min="27" max="27" width="4.7109375" bestFit="1" customWidth="1"/>
  </cols>
  <sheetData>
    <row r="4" spans="1:27">
      <c r="A4" s="1"/>
      <c r="B4" s="159"/>
      <c r="C4" s="1"/>
      <c r="D4" s="1"/>
      <c r="E4" s="1"/>
      <c r="F4" s="159"/>
      <c r="G4" s="1"/>
      <c r="H4" s="1"/>
      <c r="I4" s="1"/>
      <c r="J4" s="159"/>
      <c r="K4" s="1"/>
      <c r="L4" s="1"/>
      <c r="M4" s="1"/>
      <c r="N4" s="159"/>
      <c r="O4" s="1"/>
      <c r="P4" s="1"/>
      <c r="Q4" s="1"/>
      <c r="R4" s="159"/>
      <c r="S4" s="1"/>
      <c r="T4" s="1"/>
      <c r="U4" s="1"/>
      <c r="V4" s="1"/>
      <c r="Y4" s="1"/>
      <c r="Z4" s="1"/>
    </row>
    <row r="5" spans="1:27" s="157" customFormat="1" ht="7.5" customHeight="1">
      <c r="A5" s="158" t="s">
        <v>451</v>
      </c>
      <c r="B5" s="160">
        <v>1</v>
      </c>
      <c r="C5" s="161" t="s">
        <v>437</v>
      </c>
      <c r="D5" s="162"/>
      <c r="E5" s="158" t="s">
        <v>451</v>
      </c>
      <c r="F5" s="160">
        <v>1</v>
      </c>
      <c r="G5" s="161" t="s">
        <v>437</v>
      </c>
      <c r="H5" s="162"/>
      <c r="I5" s="158" t="s">
        <v>451</v>
      </c>
      <c r="J5" s="160">
        <v>1</v>
      </c>
      <c r="K5" s="161" t="s">
        <v>437</v>
      </c>
      <c r="L5" s="162"/>
      <c r="M5" s="158" t="s">
        <v>451</v>
      </c>
      <c r="N5" s="160">
        <v>1</v>
      </c>
      <c r="O5" s="161" t="s">
        <v>437</v>
      </c>
      <c r="P5" s="162"/>
      <c r="Q5" s="158" t="s">
        <v>451</v>
      </c>
      <c r="R5" s="160">
        <v>1</v>
      </c>
      <c r="S5" s="161" t="s">
        <v>437</v>
      </c>
      <c r="T5" s="162"/>
      <c r="U5" s="161" t="s">
        <v>451</v>
      </c>
      <c r="V5" s="161"/>
      <c r="W5" s="161" t="s">
        <v>451</v>
      </c>
      <c r="Y5" s="161" t="s">
        <v>451</v>
      </c>
      <c r="Z5" s="161"/>
      <c r="AA5" s="161" t="s">
        <v>451</v>
      </c>
    </row>
    <row r="6" spans="1:27" s="157" customFormat="1" ht="7.5" customHeight="1">
      <c r="A6" s="158" t="s">
        <v>452</v>
      </c>
      <c r="B6" s="160">
        <v>2</v>
      </c>
      <c r="C6" s="161" t="s">
        <v>438</v>
      </c>
      <c r="D6" s="162"/>
      <c r="E6" s="158" t="s">
        <v>452</v>
      </c>
      <c r="F6" s="160">
        <v>2</v>
      </c>
      <c r="G6" s="161" t="s">
        <v>438</v>
      </c>
      <c r="H6" s="162"/>
      <c r="I6" s="158" t="s">
        <v>452</v>
      </c>
      <c r="J6" s="160">
        <v>2</v>
      </c>
      <c r="K6" s="161" t="s">
        <v>438</v>
      </c>
      <c r="L6" s="162"/>
      <c r="M6" s="158" t="s">
        <v>452</v>
      </c>
      <c r="N6" s="160">
        <v>2</v>
      </c>
      <c r="O6" s="161" t="s">
        <v>438</v>
      </c>
      <c r="P6" s="162"/>
      <c r="Q6" s="158" t="s">
        <v>452</v>
      </c>
      <c r="R6" s="160">
        <v>2</v>
      </c>
      <c r="S6" s="161" t="s">
        <v>438</v>
      </c>
      <c r="T6" s="162"/>
      <c r="U6" s="161" t="s">
        <v>452</v>
      </c>
      <c r="V6" s="161"/>
      <c r="W6" s="161" t="s">
        <v>452</v>
      </c>
      <c r="Y6" s="161" t="s">
        <v>452</v>
      </c>
      <c r="Z6" s="161"/>
      <c r="AA6" s="161" t="s">
        <v>452</v>
      </c>
    </row>
    <row r="7" spans="1:27" s="157" customFormat="1" ht="7.5" customHeight="1">
      <c r="A7" s="158" t="s">
        <v>453</v>
      </c>
      <c r="B7" s="160">
        <v>3</v>
      </c>
      <c r="C7" s="161" t="s">
        <v>439</v>
      </c>
      <c r="D7" s="162"/>
      <c r="E7" s="158" t="s">
        <v>453</v>
      </c>
      <c r="F7" s="160">
        <v>3</v>
      </c>
      <c r="G7" s="161" t="s">
        <v>439</v>
      </c>
      <c r="H7" s="162"/>
      <c r="I7" s="158" t="s">
        <v>453</v>
      </c>
      <c r="J7" s="160">
        <v>3</v>
      </c>
      <c r="K7" s="161" t="s">
        <v>439</v>
      </c>
      <c r="L7" s="162"/>
      <c r="M7" s="158" t="s">
        <v>453</v>
      </c>
      <c r="N7" s="160">
        <v>3</v>
      </c>
      <c r="O7" s="161" t="s">
        <v>439</v>
      </c>
      <c r="P7" s="162"/>
      <c r="Q7" s="158" t="s">
        <v>453</v>
      </c>
      <c r="R7" s="160">
        <v>3</v>
      </c>
      <c r="S7" s="161" t="s">
        <v>439</v>
      </c>
      <c r="T7" s="162"/>
      <c r="U7" s="161" t="s">
        <v>453</v>
      </c>
      <c r="V7" s="161"/>
      <c r="W7" s="161" t="s">
        <v>453</v>
      </c>
      <c r="Y7" s="161" t="s">
        <v>453</v>
      </c>
      <c r="Z7" s="161"/>
      <c r="AA7" s="161" t="s">
        <v>453</v>
      </c>
    </row>
    <row r="8" spans="1:27" s="157" customFormat="1" ht="7.5" customHeight="1">
      <c r="A8" s="158" t="s">
        <v>454</v>
      </c>
      <c r="B8" s="160">
        <v>4</v>
      </c>
      <c r="C8" s="161" t="s">
        <v>440</v>
      </c>
      <c r="D8" s="162"/>
      <c r="E8" s="158" t="s">
        <v>454</v>
      </c>
      <c r="F8" s="160">
        <v>4</v>
      </c>
      <c r="G8" s="161" t="s">
        <v>440</v>
      </c>
      <c r="H8" s="162"/>
      <c r="I8" s="158" t="s">
        <v>454</v>
      </c>
      <c r="J8" s="160">
        <v>4</v>
      </c>
      <c r="K8" s="161" t="s">
        <v>440</v>
      </c>
      <c r="L8" s="162"/>
      <c r="M8" s="158" t="s">
        <v>454</v>
      </c>
      <c r="N8" s="160">
        <v>4</v>
      </c>
      <c r="O8" s="161" t="s">
        <v>440</v>
      </c>
      <c r="P8" s="162"/>
      <c r="Q8" s="158" t="s">
        <v>454</v>
      </c>
      <c r="R8" s="160">
        <v>4</v>
      </c>
      <c r="S8" s="161" t="s">
        <v>440</v>
      </c>
      <c r="T8" s="162"/>
      <c r="U8" s="161" t="s">
        <v>454</v>
      </c>
      <c r="V8" s="161"/>
      <c r="W8" s="161" t="s">
        <v>454</v>
      </c>
      <c r="Y8" s="161" t="s">
        <v>454</v>
      </c>
      <c r="Z8" s="161"/>
      <c r="AA8" s="161" t="s">
        <v>454</v>
      </c>
    </row>
    <row r="9" spans="1:27" s="157" customFormat="1" ht="7.5" customHeight="1">
      <c r="A9" s="158" t="s">
        <v>394</v>
      </c>
      <c r="B9" s="160">
        <v>5</v>
      </c>
      <c r="C9" s="161" t="s">
        <v>441</v>
      </c>
      <c r="D9" s="162"/>
      <c r="E9" s="158" t="s">
        <v>394</v>
      </c>
      <c r="F9" s="160">
        <v>5</v>
      </c>
      <c r="G9" s="161" t="s">
        <v>441</v>
      </c>
      <c r="H9" s="162"/>
      <c r="I9" s="158" t="s">
        <v>394</v>
      </c>
      <c r="J9" s="160">
        <v>5</v>
      </c>
      <c r="K9" s="161" t="s">
        <v>441</v>
      </c>
      <c r="L9" s="162"/>
      <c r="M9" s="158" t="s">
        <v>394</v>
      </c>
      <c r="N9" s="160">
        <v>5</v>
      </c>
      <c r="O9" s="161" t="s">
        <v>441</v>
      </c>
      <c r="P9" s="162"/>
      <c r="Q9" s="158" t="s">
        <v>394</v>
      </c>
      <c r="R9" s="160">
        <v>5</v>
      </c>
      <c r="S9" s="161" t="s">
        <v>441</v>
      </c>
      <c r="T9" s="162"/>
      <c r="U9" s="161" t="s">
        <v>394</v>
      </c>
      <c r="V9" s="161"/>
      <c r="W9" s="161" t="s">
        <v>394</v>
      </c>
      <c r="Y9" s="161" t="s">
        <v>394</v>
      </c>
      <c r="Z9" s="161"/>
      <c r="AA9" s="161" t="s">
        <v>394</v>
      </c>
    </row>
    <row r="10" spans="1:27" s="157" customFormat="1" ht="7.5" customHeight="1">
      <c r="A10" s="158" t="s">
        <v>313</v>
      </c>
      <c r="B10" s="160">
        <v>6</v>
      </c>
      <c r="C10" s="161" t="s">
        <v>442</v>
      </c>
      <c r="D10" s="162"/>
      <c r="E10" s="158" t="s">
        <v>313</v>
      </c>
      <c r="F10" s="160">
        <v>6</v>
      </c>
      <c r="G10" s="161" t="s">
        <v>442</v>
      </c>
      <c r="H10" s="162"/>
      <c r="I10" s="158" t="s">
        <v>313</v>
      </c>
      <c r="J10" s="160">
        <v>6</v>
      </c>
      <c r="K10" s="161" t="s">
        <v>442</v>
      </c>
      <c r="L10" s="162"/>
      <c r="M10" s="158" t="s">
        <v>313</v>
      </c>
      <c r="N10" s="160">
        <v>6</v>
      </c>
      <c r="O10" s="161" t="s">
        <v>442</v>
      </c>
      <c r="P10" s="162"/>
      <c r="Q10" s="158" t="s">
        <v>313</v>
      </c>
      <c r="R10" s="160">
        <v>6</v>
      </c>
      <c r="S10" s="161" t="s">
        <v>442</v>
      </c>
      <c r="T10" s="162"/>
      <c r="U10" s="161" t="s">
        <v>313</v>
      </c>
      <c r="V10" s="161"/>
      <c r="W10" s="161" t="s">
        <v>313</v>
      </c>
      <c r="Y10" s="161" t="s">
        <v>313</v>
      </c>
      <c r="Z10" s="161"/>
      <c r="AA10" s="161" t="s">
        <v>313</v>
      </c>
    </row>
    <row r="11" spans="1:27" s="157" customFormat="1" ht="7.5" customHeight="1">
      <c r="A11" s="158" t="s">
        <v>587</v>
      </c>
      <c r="B11" s="160">
        <v>7</v>
      </c>
      <c r="C11" s="161" t="s">
        <v>443</v>
      </c>
      <c r="D11" s="162"/>
      <c r="E11" s="158" t="s">
        <v>587</v>
      </c>
      <c r="F11" s="160">
        <v>7</v>
      </c>
      <c r="G11" s="161" t="s">
        <v>443</v>
      </c>
      <c r="H11" s="162"/>
      <c r="I11" s="158" t="s">
        <v>587</v>
      </c>
      <c r="J11" s="160">
        <v>7</v>
      </c>
      <c r="K11" s="161" t="s">
        <v>443</v>
      </c>
      <c r="L11" s="162"/>
      <c r="M11" s="158" t="s">
        <v>587</v>
      </c>
      <c r="N11" s="160">
        <v>7</v>
      </c>
      <c r="O11" s="161" t="s">
        <v>443</v>
      </c>
      <c r="P11" s="162"/>
      <c r="Q11" s="158" t="s">
        <v>587</v>
      </c>
      <c r="R11" s="160">
        <v>7</v>
      </c>
      <c r="S11" s="161" t="s">
        <v>443</v>
      </c>
      <c r="T11" s="162"/>
      <c r="U11" s="163" t="s">
        <v>587</v>
      </c>
      <c r="V11" s="161"/>
      <c r="W11" s="163" t="s">
        <v>587</v>
      </c>
      <c r="Y11" s="163" t="s">
        <v>587</v>
      </c>
      <c r="Z11" s="161"/>
      <c r="AA11" s="163" t="s">
        <v>587</v>
      </c>
    </row>
    <row r="12" spans="1:27" s="157" customFormat="1" ht="7.5" customHeight="1">
      <c r="A12" s="158" t="s">
        <v>588</v>
      </c>
      <c r="B12" s="160">
        <v>8</v>
      </c>
      <c r="C12" s="161" t="s">
        <v>387</v>
      </c>
      <c r="D12" s="162"/>
      <c r="E12" s="158" t="s">
        <v>588</v>
      </c>
      <c r="F12" s="160">
        <v>8</v>
      </c>
      <c r="G12" s="161" t="s">
        <v>387</v>
      </c>
      <c r="H12" s="162"/>
      <c r="I12" s="158" t="s">
        <v>588</v>
      </c>
      <c r="J12" s="160">
        <v>8</v>
      </c>
      <c r="K12" s="161" t="s">
        <v>387</v>
      </c>
      <c r="L12" s="162"/>
      <c r="M12" s="158" t="s">
        <v>588</v>
      </c>
      <c r="N12" s="160">
        <v>8</v>
      </c>
      <c r="O12" s="161" t="s">
        <v>387</v>
      </c>
      <c r="P12" s="162"/>
      <c r="Q12" s="158" t="s">
        <v>588</v>
      </c>
      <c r="R12" s="160">
        <v>8</v>
      </c>
      <c r="S12" s="161" t="s">
        <v>387</v>
      </c>
      <c r="T12" s="162"/>
      <c r="U12" s="161" t="s">
        <v>588</v>
      </c>
      <c r="V12" s="161"/>
      <c r="W12" s="161" t="s">
        <v>588</v>
      </c>
      <c r="Y12" s="161" t="s">
        <v>588</v>
      </c>
      <c r="Z12" s="161"/>
      <c r="AA12" s="161" t="s">
        <v>588</v>
      </c>
    </row>
    <row r="13" spans="1:27" s="157" customFormat="1" ht="7.5" customHeight="1">
      <c r="A13" s="158" t="s">
        <v>589</v>
      </c>
      <c r="B13" s="160">
        <v>9</v>
      </c>
      <c r="C13" s="161" t="s">
        <v>444</v>
      </c>
      <c r="D13" s="162"/>
      <c r="E13" s="158" t="s">
        <v>589</v>
      </c>
      <c r="F13" s="160">
        <v>9</v>
      </c>
      <c r="G13" s="161" t="s">
        <v>444</v>
      </c>
      <c r="H13" s="162"/>
      <c r="I13" s="158" t="s">
        <v>589</v>
      </c>
      <c r="J13" s="160">
        <v>9</v>
      </c>
      <c r="K13" s="161" t="s">
        <v>444</v>
      </c>
      <c r="L13" s="162"/>
      <c r="M13" s="158" t="s">
        <v>589</v>
      </c>
      <c r="N13" s="160">
        <v>9</v>
      </c>
      <c r="O13" s="161" t="s">
        <v>444</v>
      </c>
      <c r="P13" s="162"/>
      <c r="Q13" s="158" t="s">
        <v>589</v>
      </c>
      <c r="R13" s="160">
        <v>9</v>
      </c>
      <c r="S13" s="161" t="s">
        <v>444</v>
      </c>
      <c r="T13" s="162"/>
      <c r="U13" s="161" t="s">
        <v>589</v>
      </c>
      <c r="V13" s="161"/>
      <c r="W13" s="161" t="s">
        <v>589</v>
      </c>
      <c r="Y13" s="161" t="s">
        <v>589</v>
      </c>
      <c r="Z13" s="161"/>
      <c r="AA13" s="161" t="s">
        <v>589</v>
      </c>
    </row>
    <row r="14" spans="1:27" s="157" customFormat="1" ht="7.5" customHeight="1">
      <c r="A14" s="158" t="s">
        <v>590</v>
      </c>
      <c r="B14" s="160">
        <v>10</v>
      </c>
      <c r="C14" s="161" t="s">
        <v>445</v>
      </c>
      <c r="D14" s="162"/>
      <c r="E14" s="158" t="s">
        <v>590</v>
      </c>
      <c r="F14" s="160">
        <v>10</v>
      </c>
      <c r="G14" s="161" t="s">
        <v>445</v>
      </c>
      <c r="H14" s="162"/>
      <c r="I14" s="158" t="s">
        <v>590</v>
      </c>
      <c r="J14" s="160">
        <v>10</v>
      </c>
      <c r="K14" s="161" t="s">
        <v>445</v>
      </c>
      <c r="L14" s="162"/>
      <c r="M14" s="158" t="s">
        <v>590</v>
      </c>
      <c r="N14" s="160">
        <v>10</v>
      </c>
      <c r="O14" s="161" t="s">
        <v>445</v>
      </c>
      <c r="P14" s="162"/>
      <c r="Q14" s="158" t="s">
        <v>590</v>
      </c>
      <c r="R14" s="160">
        <v>10</v>
      </c>
      <c r="S14" s="161" t="s">
        <v>445</v>
      </c>
      <c r="T14" s="162"/>
      <c r="U14" s="163" t="s">
        <v>590</v>
      </c>
      <c r="V14" s="161"/>
      <c r="W14" s="163" t="s">
        <v>590</v>
      </c>
      <c r="Y14" s="163" t="s">
        <v>590</v>
      </c>
      <c r="Z14" s="161"/>
      <c r="AA14" s="163" t="s">
        <v>590</v>
      </c>
    </row>
    <row r="15" spans="1:27" s="157" customFormat="1" ht="7.5" customHeight="1">
      <c r="A15" s="158" t="s">
        <v>456</v>
      </c>
      <c r="B15" s="160">
        <v>11</v>
      </c>
      <c r="C15" s="161" t="s">
        <v>398</v>
      </c>
      <c r="D15" s="162"/>
      <c r="E15" s="158" t="s">
        <v>456</v>
      </c>
      <c r="F15" s="160">
        <v>11</v>
      </c>
      <c r="G15" s="161" t="s">
        <v>398</v>
      </c>
      <c r="H15" s="162"/>
      <c r="I15" s="158" t="s">
        <v>456</v>
      </c>
      <c r="J15" s="160">
        <v>11</v>
      </c>
      <c r="K15" s="161" t="s">
        <v>398</v>
      </c>
      <c r="L15" s="162"/>
      <c r="M15" s="158" t="s">
        <v>456</v>
      </c>
      <c r="N15" s="160">
        <v>11</v>
      </c>
      <c r="O15" s="161" t="s">
        <v>398</v>
      </c>
      <c r="P15" s="162"/>
      <c r="Q15" s="158" t="s">
        <v>456</v>
      </c>
      <c r="R15" s="160">
        <v>11</v>
      </c>
      <c r="S15" s="161" t="s">
        <v>398</v>
      </c>
      <c r="T15" s="162"/>
      <c r="U15" s="161" t="s">
        <v>456</v>
      </c>
      <c r="V15" s="161"/>
      <c r="W15" s="161" t="s">
        <v>456</v>
      </c>
      <c r="Y15" s="161" t="s">
        <v>456</v>
      </c>
      <c r="Z15" s="161"/>
      <c r="AA15" s="161" t="s">
        <v>456</v>
      </c>
    </row>
    <row r="16" spans="1:27" s="157" customFormat="1" ht="7.5" customHeight="1">
      <c r="A16" s="158" t="s">
        <v>457</v>
      </c>
      <c r="B16" s="160">
        <v>12</v>
      </c>
      <c r="C16" s="161" t="s">
        <v>446</v>
      </c>
      <c r="D16" s="162"/>
      <c r="E16" s="158" t="s">
        <v>457</v>
      </c>
      <c r="F16" s="160">
        <v>12</v>
      </c>
      <c r="G16" s="161" t="s">
        <v>446</v>
      </c>
      <c r="H16" s="162"/>
      <c r="I16" s="158" t="s">
        <v>457</v>
      </c>
      <c r="J16" s="160">
        <v>12</v>
      </c>
      <c r="K16" s="161" t="s">
        <v>446</v>
      </c>
      <c r="L16" s="162"/>
      <c r="M16" s="158" t="s">
        <v>457</v>
      </c>
      <c r="N16" s="160">
        <v>12</v>
      </c>
      <c r="O16" s="161" t="s">
        <v>446</v>
      </c>
      <c r="P16" s="162"/>
      <c r="Q16" s="158" t="s">
        <v>457</v>
      </c>
      <c r="R16" s="160">
        <v>12</v>
      </c>
      <c r="S16" s="161" t="s">
        <v>446</v>
      </c>
      <c r="T16" s="162"/>
      <c r="U16" s="161" t="s">
        <v>457</v>
      </c>
      <c r="V16" s="161"/>
      <c r="W16" s="161" t="s">
        <v>457</v>
      </c>
      <c r="Y16" s="161" t="s">
        <v>457</v>
      </c>
      <c r="Z16" s="161"/>
      <c r="AA16" s="161" t="s">
        <v>457</v>
      </c>
    </row>
    <row r="17" spans="1:27" s="157" customFormat="1" ht="7.5" customHeight="1">
      <c r="A17" s="158" t="s">
        <v>458</v>
      </c>
      <c r="B17" s="160">
        <v>13</v>
      </c>
      <c r="C17" s="161" t="s">
        <v>313</v>
      </c>
      <c r="D17" s="162"/>
      <c r="E17" s="158" t="s">
        <v>458</v>
      </c>
      <c r="F17" s="160">
        <v>13</v>
      </c>
      <c r="G17" s="161" t="s">
        <v>313</v>
      </c>
      <c r="H17" s="162"/>
      <c r="I17" s="158" t="s">
        <v>458</v>
      </c>
      <c r="J17" s="160">
        <v>13</v>
      </c>
      <c r="K17" s="161" t="s">
        <v>313</v>
      </c>
      <c r="L17" s="162"/>
      <c r="M17" s="158" t="s">
        <v>458</v>
      </c>
      <c r="N17" s="160">
        <v>13</v>
      </c>
      <c r="O17" s="161" t="s">
        <v>313</v>
      </c>
      <c r="P17" s="162"/>
      <c r="Q17" s="158" t="s">
        <v>458</v>
      </c>
      <c r="R17" s="160">
        <v>13</v>
      </c>
      <c r="S17" s="161" t="s">
        <v>313</v>
      </c>
      <c r="T17" s="162"/>
      <c r="U17" s="161" t="s">
        <v>458</v>
      </c>
      <c r="V17" s="161"/>
      <c r="W17" s="161" t="s">
        <v>458</v>
      </c>
      <c r="Y17" s="161" t="s">
        <v>458</v>
      </c>
      <c r="Z17" s="161"/>
      <c r="AA17" s="161" t="s">
        <v>458</v>
      </c>
    </row>
    <row r="18" spans="1:27" s="157" customFormat="1" ht="7.5" customHeight="1">
      <c r="A18" s="158" t="s">
        <v>459</v>
      </c>
      <c r="B18" s="160">
        <v>14</v>
      </c>
      <c r="C18" s="161" t="s">
        <v>447</v>
      </c>
      <c r="D18" s="162"/>
      <c r="E18" s="158" t="s">
        <v>459</v>
      </c>
      <c r="F18" s="160">
        <v>14</v>
      </c>
      <c r="G18" s="161" t="s">
        <v>447</v>
      </c>
      <c r="H18" s="162"/>
      <c r="I18" s="158" t="s">
        <v>459</v>
      </c>
      <c r="J18" s="160">
        <v>14</v>
      </c>
      <c r="K18" s="161" t="s">
        <v>447</v>
      </c>
      <c r="L18" s="162"/>
      <c r="M18" s="158" t="s">
        <v>459</v>
      </c>
      <c r="N18" s="160">
        <v>14</v>
      </c>
      <c r="O18" s="161" t="s">
        <v>447</v>
      </c>
      <c r="P18" s="162"/>
      <c r="Q18" s="158" t="s">
        <v>459</v>
      </c>
      <c r="R18" s="160">
        <v>14</v>
      </c>
      <c r="S18" s="161" t="s">
        <v>447</v>
      </c>
      <c r="T18" s="162"/>
      <c r="U18" s="161" t="s">
        <v>459</v>
      </c>
      <c r="V18" s="161"/>
      <c r="W18" s="161" t="s">
        <v>459</v>
      </c>
      <c r="Y18" s="161" t="s">
        <v>459</v>
      </c>
      <c r="Z18" s="161"/>
      <c r="AA18" s="161" t="s">
        <v>459</v>
      </c>
    </row>
    <row r="19" spans="1:27" s="157" customFormat="1" ht="7.5" customHeight="1">
      <c r="A19" s="158" t="s">
        <v>460</v>
      </c>
      <c r="B19" s="160">
        <v>15</v>
      </c>
      <c r="C19" s="161" t="s">
        <v>448</v>
      </c>
      <c r="D19" s="162"/>
      <c r="E19" s="158" t="s">
        <v>460</v>
      </c>
      <c r="F19" s="160">
        <v>15</v>
      </c>
      <c r="G19" s="161" t="s">
        <v>448</v>
      </c>
      <c r="H19" s="162"/>
      <c r="I19" s="158" t="s">
        <v>460</v>
      </c>
      <c r="J19" s="160">
        <v>15</v>
      </c>
      <c r="K19" s="161" t="s">
        <v>448</v>
      </c>
      <c r="L19" s="162"/>
      <c r="M19" s="158" t="s">
        <v>460</v>
      </c>
      <c r="N19" s="160">
        <v>15</v>
      </c>
      <c r="O19" s="161" t="s">
        <v>448</v>
      </c>
      <c r="P19" s="162"/>
      <c r="Q19" s="158" t="s">
        <v>460</v>
      </c>
      <c r="R19" s="160">
        <v>15</v>
      </c>
      <c r="S19" s="161" t="s">
        <v>448</v>
      </c>
      <c r="T19" s="162"/>
      <c r="U19" s="161" t="s">
        <v>460</v>
      </c>
      <c r="V19" s="161"/>
      <c r="W19" s="161" t="s">
        <v>460</v>
      </c>
      <c r="Y19" s="161" t="s">
        <v>460</v>
      </c>
      <c r="Z19" s="161"/>
      <c r="AA19" s="161" t="s">
        <v>460</v>
      </c>
    </row>
    <row r="20" spans="1:27" s="157" customFormat="1" ht="7.5" customHeight="1">
      <c r="A20" s="158" t="s">
        <v>461</v>
      </c>
      <c r="B20" s="160">
        <v>16</v>
      </c>
      <c r="C20" s="161" t="s">
        <v>449</v>
      </c>
      <c r="D20" s="162"/>
      <c r="E20" s="158" t="s">
        <v>461</v>
      </c>
      <c r="F20" s="160">
        <v>16</v>
      </c>
      <c r="G20" s="161" t="s">
        <v>449</v>
      </c>
      <c r="H20" s="162"/>
      <c r="I20" s="158" t="s">
        <v>461</v>
      </c>
      <c r="J20" s="160">
        <v>16</v>
      </c>
      <c r="K20" s="161" t="s">
        <v>449</v>
      </c>
      <c r="L20" s="162"/>
      <c r="M20" s="158" t="s">
        <v>461</v>
      </c>
      <c r="N20" s="160">
        <v>16</v>
      </c>
      <c r="O20" s="161" t="s">
        <v>449</v>
      </c>
      <c r="P20" s="162"/>
      <c r="Q20" s="158" t="s">
        <v>461</v>
      </c>
      <c r="R20" s="160">
        <v>16</v>
      </c>
      <c r="S20" s="161" t="s">
        <v>449</v>
      </c>
      <c r="T20" s="162"/>
      <c r="U20" s="161" t="s">
        <v>461</v>
      </c>
      <c r="V20" s="161"/>
      <c r="W20" s="161" t="s">
        <v>461</v>
      </c>
      <c r="Y20" s="161" t="s">
        <v>461</v>
      </c>
      <c r="Z20" s="161"/>
      <c r="AA20" s="161" t="s">
        <v>461</v>
      </c>
    </row>
    <row r="21" spans="1:27" s="157" customFormat="1" ht="7.5" customHeight="1">
      <c r="A21" s="158" t="s">
        <v>462</v>
      </c>
      <c r="B21" s="160">
        <v>17</v>
      </c>
      <c r="C21" s="161" t="s">
        <v>450</v>
      </c>
      <c r="D21" s="162"/>
      <c r="E21" s="158" t="s">
        <v>462</v>
      </c>
      <c r="F21" s="160">
        <v>17</v>
      </c>
      <c r="G21" s="161" t="s">
        <v>450</v>
      </c>
      <c r="H21" s="162"/>
      <c r="I21" s="158" t="s">
        <v>462</v>
      </c>
      <c r="J21" s="160">
        <v>17</v>
      </c>
      <c r="K21" s="161" t="s">
        <v>450</v>
      </c>
      <c r="L21" s="162"/>
      <c r="M21" s="158" t="s">
        <v>462</v>
      </c>
      <c r="N21" s="160">
        <v>17</v>
      </c>
      <c r="O21" s="161" t="s">
        <v>450</v>
      </c>
      <c r="P21" s="162"/>
      <c r="Q21" s="158" t="s">
        <v>462</v>
      </c>
      <c r="R21" s="160">
        <v>17</v>
      </c>
      <c r="S21" s="161" t="s">
        <v>450</v>
      </c>
      <c r="T21" s="162"/>
      <c r="U21" s="161" t="s">
        <v>462</v>
      </c>
      <c r="V21" s="161"/>
      <c r="W21" s="161" t="s">
        <v>462</v>
      </c>
      <c r="Y21" s="161" t="s">
        <v>462</v>
      </c>
      <c r="Z21" s="161"/>
      <c r="AA21" s="161" t="s">
        <v>462</v>
      </c>
    </row>
    <row r="22" spans="1:27" s="157" customFormat="1" ht="7.5" customHeight="1">
      <c r="A22" s="158" t="s">
        <v>463</v>
      </c>
      <c r="B22" s="160">
        <v>18</v>
      </c>
      <c r="C22" s="161" t="s">
        <v>399</v>
      </c>
      <c r="D22" s="162"/>
      <c r="E22" s="158" t="s">
        <v>463</v>
      </c>
      <c r="F22" s="160">
        <v>18</v>
      </c>
      <c r="G22" s="161" t="s">
        <v>399</v>
      </c>
      <c r="H22" s="162"/>
      <c r="I22" s="158" t="s">
        <v>463</v>
      </c>
      <c r="J22" s="160">
        <v>18</v>
      </c>
      <c r="K22" s="161" t="s">
        <v>399</v>
      </c>
      <c r="L22" s="162"/>
      <c r="M22" s="158" t="s">
        <v>463</v>
      </c>
      <c r="N22" s="160">
        <v>18</v>
      </c>
      <c r="O22" s="161" t="s">
        <v>399</v>
      </c>
      <c r="P22" s="162"/>
      <c r="Q22" s="158" t="s">
        <v>463</v>
      </c>
      <c r="R22" s="160">
        <v>18</v>
      </c>
      <c r="S22" s="161" t="s">
        <v>399</v>
      </c>
      <c r="T22" s="162"/>
      <c r="U22" s="161" t="s">
        <v>463</v>
      </c>
      <c r="V22" s="161"/>
      <c r="W22" s="161" t="s">
        <v>463</v>
      </c>
      <c r="Y22" s="161" t="s">
        <v>463</v>
      </c>
      <c r="Z22" s="161"/>
      <c r="AA22" s="161" t="s">
        <v>463</v>
      </c>
    </row>
    <row r="23" spans="1:27" s="157" customFormat="1" ht="7.5" customHeight="1">
      <c r="A23" s="158" t="s">
        <v>464</v>
      </c>
      <c r="B23" s="160">
        <v>19</v>
      </c>
      <c r="C23" s="161" t="s">
        <v>313</v>
      </c>
      <c r="D23" s="162"/>
      <c r="E23" s="158" t="s">
        <v>464</v>
      </c>
      <c r="F23" s="160">
        <v>19</v>
      </c>
      <c r="G23" s="161" t="s">
        <v>313</v>
      </c>
      <c r="H23" s="162"/>
      <c r="I23" s="158" t="s">
        <v>464</v>
      </c>
      <c r="J23" s="160">
        <v>19</v>
      </c>
      <c r="K23" s="161" t="s">
        <v>313</v>
      </c>
      <c r="L23" s="162"/>
      <c r="M23" s="158" t="s">
        <v>464</v>
      </c>
      <c r="N23" s="160">
        <v>19</v>
      </c>
      <c r="O23" s="161" t="s">
        <v>313</v>
      </c>
      <c r="P23" s="162"/>
      <c r="Q23" s="158" t="s">
        <v>464</v>
      </c>
      <c r="R23" s="160">
        <v>19</v>
      </c>
      <c r="S23" s="161" t="s">
        <v>313</v>
      </c>
      <c r="T23" s="162"/>
      <c r="U23" s="161" t="s">
        <v>464</v>
      </c>
      <c r="V23" s="161"/>
      <c r="W23" s="161" t="s">
        <v>464</v>
      </c>
      <c r="Y23" s="161" t="s">
        <v>464</v>
      </c>
      <c r="Z23" s="161"/>
      <c r="AA23" s="161" t="s">
        <v>464</v>
      </c>
    </row>
    <row r="24" spans="1:27">
      <c r="A24" s="1"/>
      <c r="B24" s="159"/>
      <c r="C24" s="1"/>
      <c r="D24" s="1"/>
      <c r="E24" s="1"/>
      <c r="F24" s="159"/>
      <c r="G24" s="1"/>
      <c r="H24" s="1"/>
      <c r="I24" s="1"/>
      <c r="J24" s="159"/>
      <c r="K24" s="1"/>
      <c r="L24" s="1"/>
      <c r="M24" s="1"/>
      <c r="N24" s="159"/>
      <c r="O24" s="1"/>
      <c r="P24" s="1"/>
      <c r="Q24" s="1"/>
      <c r="R24" s="159"/>
      <c r="S24" s="1"/>
      <c r="T24" s="1"/>
      <c r="U24" s="1"/>
      <c r="V24" s="1"/>
      <c r="Y24" s="1"/>
      <c r="Z24" s="1"/>
    </row>
    <row r="25" spans="1:27" s="157" customFormat="1" ht="7.5" customHeight="1">
      <c r="A25" s="158" t="s">
        <v>591</v>
      </c>
      <c r="B25" s="160"/>
      <c r="C25" s="161"/>
      <c r="D25" s="162"/>
      <c r="E25" s="158" t="s">
        <v>591</v>
      </c>
      <c r="F25" s="160"/>
      <c r="G25" s="161"/>
      <c r="H25" s="162"/>
      <c r="I25" s="158" t="s">
        <v>591</v>
      </c>
      <c r="J25" s="160"/>
      <c r="K25" s="161"/>
      <c r="L25" s="162"/>
      <c r="M25" s="158" t="s">
        <v>591</v>
      </c>
      <c r="N25" s="160"/>
      <c r="O25" s="161"/>
      <c r="P25" s="162"/>
      <c r="Q25" s="158" t="s">
        <v>591</v>
      </c>
      <c r="R25" s="160"/>
      <c r="S25" s="161"/>
      <c r="T25" s="162"/>
      <c r="U25" s="158" t="s">
        <v>591</v>
      </c>
      <c r="V25" s="161"/>
      <c r="Y25" s="158" t="s">
        <v>591</v>
      </c>
      <c r="Z25" s="161"/>
    </row>
    <row r="26" spans="1:27" s="157" customFormat="1" ht="7.5" customHeight="1">
      <c r="A26" s="158" t="s">
        <v>540</v>
      </c>
      <c r="B26" s="160"/>
      <c r="C26" s="161"/>
      <c r="D26" s="162"/>
      <c r="E26" s="158" t="s">
        <v>540</v>
      </c>
      <c r="F26" s="160"/>
      <c r="G26" s="161"/>
      <c r="H26" s="162"/>
      <c r="I26" s="158" t="s">
        <v>540</v>
      </c>
      <c r="J26" s="160"/>
      <c r="K26" s="161"/>
      <c r="L26" s="162"/>
      <c r="M26" s="158" t="s">
        <v>540</v>
      </c>
      <c r="N26" s="160"/>
      <c r="O26" s="161"/>
      <c r="P26" s="162"/>
      <c r="Q26" s="158" t="s">
        <v>540</v>
      </c>
      <c r="R26" s="160"/>
      <c r="S26" s="161"/>
      <c r="T26" s="162"/>
      <c r="U26" s="158" t="s">
        <v>540</v>
      </c>
      <c r="V26" s="161"/>
      <c r="Y26" s="158" t="s">
        <v>540</v>
      </c>
      <c r="Z26" s="161"/>
    </row>
  </sheetData>
  <pageMargins left="0.25" right="0.25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A785B-F5CC-4B32-BEE9-5467FA3356F1}">
  <dimension ref="A1:B24"/>
  <sheetViews>
    <sheetView workbookViewId="0">
      <selection activeCell="L15" sqref="L15"/>
    </sheetView>
  </sheetViews>
  <sheetFormatPr defaultRowHeight="15"/>
  <sheetData>
    <row r="1" spans="1:2">
      <c r="A1" t="s">
        <v>541</v>
      </c>
      <c r="B1" t="s">
        <v>578</v>
      </c>
    </row>
    <row r="2" spans="1:2">
      <c r="A2" t="s">
        <v>542</v>
      </c>
      <c r="B2" t="s">
        <v>543</v>
      </c>
    </row>
    <row r="3" spans="1:2">
      <c r="A3" t="s">
        <v>544</v>
      </c>
      <c r="B3" t="s">
        <v>545</v>
      </c>
    </row>
    <row r="4" spans="1:2">
      <c r="A4" t="s">
        <v>546</v>
      </c>
      <c r="B4" t="s">
        <v>547</v>
      </c>
    </row>
    <row r="6" spans="1:2">
      <c r="A6" t="s">
        <v>548</v>
      </c>
      <c r="B6" t="s">
        <v>553</v>
      </c>
    </row>
    <row r="7" spans="1:2">
      <c r="A7" t="s">
        <v>549</v>
      </c>
      <c r="B7" t="s">
        <v>554</v>
      </c>
    </row>
    <row r="8" spans="1:2">
      <c r="A8" t="s">
        <v>550</v>
      </c>
      <c r="B8" t="s">
        <v>555</v>
      </c>
    </row>
    <row r="9" spans="1:2">
      <c r="A9" t="s">
        <v>551</v>
      </c>
      <c r="B9" t="s">
        <v>330</v>
      </c>
    </row>
    <row r="10" spans="1:2">
      <c r="A10" t="s">
        <v>552</v>
      </c>
      <c r="B10" t="s">
        <v>556</v>
      </c>
    </row>
    <row r="11" spans="1:2">
      <c r="A11" t="s">
        <v>557</v>
      </c>
      <c r="B11" t="s">
        <v>571</v>
      </c>
    </row>
    <row r="12" spans="1:2">
      <c r="A12" t="s">
        <v>558</v>
      </c>
      <c r="B12" t="s">
        <v>572</v>
      </c>
    </row>
    <row r="13" spans="1:2">
      <c r="A13" t="s">
        <v>559</v>
      </c>
      <c r="B13" t="s">
        <v>573</v>
      </c>
    </row>
    <row r="14" spans="1:2">
      <c r="A14" t="s">
        <v>560</v>
      </c>
      <c r="B14" t="s">
        <v>574</v>
      </c>
    </row>
    <row r="15" spans="1:2">
      <c r="A15" t="s">
        <v>561</v>
      </c>
      <c r="B15" t="s">
        <v>575</v>
      </c>
    </row>
    <row r="16" spans="1:2">
      <c r="A16" t="s">
        <v>562</v>
      </c>
      <c r="B16" t="s">
        <v>575</v>
      </c>
    </row>
    <row r="17" spans="1:2">
      <c r="A17" t="s">
        <v>563</v>
      </c>
    </row>
    <row r="18" spans="1:2">
      <c r="A18" t="s">
        <v>564</v>
      </c>
    </row>
    <row r="19" spans="1:2">
      <c r="A19" t="s">
        <v>565</v>
      </c>
      <c r="B19" t="s">
        <v>576</v>
      </c>
    </row>
    <row r="20" spans="1:2">
      <c r="A20" t="s">
        <v>566</v>
      </c>
      <c r="B20" t="s">
        <v>577</v>
      </c>
    </row>
    <row r="21" spans="1:2">
      <c r="A21" t="s">
        <v>567</v>
      </c>
    </row>
    <row r="22" spans="1:2">
      <c r="A22" t="s">
        <v>568</v>
      </c>
    </row>
    <row r="23" spans="1:2">
      <c r="A23" t="s">
        <v>569</v>
      </c>
    </row>
    <row r="24" spans="1:2">
      <c r="A24" t="s">
        <v>570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AF1-CFBA-4E3E-9820-BAE20DBD79D9}">
  <dimension ref="A1:K208"/>
  <sheetViews>
    <sheetView topLeftCell="A187" workbookViewId="0">
      <selection activeCell="H28" sqref="H28"/>
    </sheetView>
  </sheetViews>
  <sheetFormatPr defaultRowHeight="15"/>
  <cols>
    <col min="1" max="1" width="8.28515625" bestFit="1" customWidth="1"/>
    <col min="2" max="2" width="8" bestFit="1" customWidth="1"/>
    <col min="3" max="3" width="6.28515625" bestFit="1" customWidth="1"/>
    <col min="4" max="4" width="2.140625" bestFit="1" customWidth="1"/>
    <col min="5" max="5" width="1.5703125" bestFit="1" customWidth="1"/>
    <col min="6" max="6" width="2.140625" bestFit="1" customWidth="1"/>
    <col min="7" max="7" width="5.7109375" bestFit="1" customWidth="1"/>
    <col min="8" max="8" width="70.85546875" customWidth="1"/>
    <col min="9" max="9" width="9.5703125" bestFit="1" customWidth="1"/>
    <col min="10" max="10" width="76.28515625" customWidth="1"/>
    <col min="11" max="11" width="99.28515625" bestFit="1" customWidth="1"/>
  </cols>
  <sheetData>
    <row r="1" spans="1:11" ht="35.25" thickBot="1">
      <c r="A1" s="45" t="s">
        <v>61</v>
      </c>
      <c r="B1" s="46" t="s">
        <v>62</v>
      </c>
      <c r="C1" s="45" t="s">
        <v>63</v>
      </c>
      <c r="D1" s="264" t="s">
        <v>64</v>
      </c>
      <c r="E1" s="265"/>
      <c r="F1" s="266"/>
      <c r="G1" s="47"/>
      <c r="H1" s="48" t="s">
        <v>65</v>
      </c>
      <c r="I1" s="49" t="s">
        <v>66</v>
      </c>
      <c r="J1" s="50" t="s">
        <v>67</v>
      </c>
      <c r="K1" s="50" t="s">
        <v>68</v>
      </c>
    </row>
    <row r="2" spans="1:11" ht="15.75" thickBot="1">
      <c r="A2" s="267" t="s">
        <v>69</v>
      </c>
      <c r="B2" s="270" t="s">
        <v>70</v>
      </c>
      <c r="C2" s="51">
        <v>0</v>
      </c>
      <c r="D2" s="52">
        <v>7</v>
      </c>
      <c r="E2" s="53" t="s">
        <v>71</v>
      </c>
      <c r="F2" s="53">
        <v>0</v>
      </c>
      <c r="G2" s="54"/>
      <c r="H2" s="124" t="s">
        <v>72</v>
      </c>
      <c r="I2" s="54"/>
      <c r="J2" s="53" t="s">
        <v>73</v>
      </c>
      <c r="K2" s="273" t="s">
        <v>74</v>
      </c>
    </row>
    <row r="3" spans="1:11" ht="15.75" thickBot="1">
      <c r="A3" s="268"/>
      <c r="B3" s="271"/>
      <c r="C3" s="51">
        <v>1</v>
      </c>
      <c r="D3" s="52">
        <v>7</v>
      </c>
      <c r="E3" s="53" t="s">
        <v>71</v>
      </c>
      <c r="F3" s="53">
        <v>0</v>
      </c>
      <c r="G3" s="43"/>
      <c r="H3" s="43"/>
      <c r="I3" s="43"/>
      <c r="J3" s="53" t="s">
        <v>75</v>
      </c>
      <c r="K3" s="274"/>
    </row>
    <row r="4" spans="1:11" ht="15.75" thickBot="1">
      <c r="A4" s="268"/>
      <c r="B4" s="271"/>
      <c r="C4" s="51">
        <v>2</v>
      </c>
      <c r="D4" s="52">
        <v>7</v>
      </c>
      <c r="E4" s="53" t="s">
        <v>71</v>
      </c>
      <c r="F4" s="53">
        <v>0</v>
      </c>
      <c r="G4" s="43"/>
      <c r="H4" s="43"/>
      <c r="I4" s="43"/>
      <c r="J4" s="53" t="s">
        <v>76</v>
      </c>
      <c r="K4" s="274"/>
    </row>
    <row r="5" spans="1:11" ht="15.75" thickBot="1">
      <c r="A5" s="268"/>
      <c r="B5" s="271"/>
      <c r="C5" s="51">
        <v>3</v>
      </c>
      <c r="D5" s="52">
        <v>7</v>
      </c>
      <c r="E5" s="53" t="s">
        <v>71</v>
      </c>
      <c r="F5" s="53">
        <v>0</v>
      </c>
      <c r="G5" s="43"/>
      <c r="H5" s="43"/>
      <c r="I5" s="43"/>
      <c r="J5" s="53" t="s">
        <v>77</v>
      </c>
      <c r="K5" s="274"/>
    </row>
    <row r="6" spans="1:11" ht="15.75" thickBot="1">
      <c r="A6" s="268"/>
      <c r="B6" s="271"/>
      <c r="C6" s="51">
        <v>4</v>
      </c>
      <c r="D6" s="52">
        <v>7</v>
      </c>
      <c r="E6" s="53" t="s">
        <v>71</v>
      </c>
      <c r="F6" s="53">
        <v>0</v>
      </c>
      <c r="G6" s="43"/>
      <c r="H6" s="43"/>
      <c r="I6" s="43"/>
      <c r="J6" s="53" t="s">
        <v>78</v>
      </c>
      <c r="K6" s="274"/>
    </row>
    <row r="7" spans="1:11" ht="15.75" thickBot="1">
      <c r="A7" s="268"/>
      <c r="B7" s="271"/>
      <c r="C7" s="51">
        <v>5</v>
      </c>
      <c r="D7" s="52">
        <v>7</v>
      </c>
      <c r="E7" s="53" t="s">
        <v>71</v>
      </c>
      <c r="F7" s="53">
        <v>0</v>
      </c>
      <c r="G7" s="43"/>
      <c r="H7" s="43"/>
      <c r="I7" s="43"/>
      <c r="J7" s="53">
        <v>0</v>
      </c>
      <c r="K7" s="274"/>
    </row>
    <row r="8" spans="1:11" ht="15.75" thickBot="1">
      <c r="A8" s="268"/>
      <c r="B8" s="271"/>
      <c r="C8" s="51">
        <v>6</v>
      </c>
      <c r="D8" s="52">
        <v>7</v>
      </c>
      <c r="E8" s="53" t="s">
        <v>71</v>
      </c>
      <c r="F8" s="53">
        <v>0</v>
      </c>
      <c r="G8" s="43"/>
      <c r="H8" s="43" t="s">
        <v>79</v>
      </c>
      <c r="I8" s="43"/>
      <c r="J8" s="53" t="s">
        <v>80</v>
      </c>
      <c r="K8" s="274"/>
    </row>
    <row r="9" spans="1:11" ht="15.75" thickBot="1">
      <c r="A9" s="268"/>
      <c r="B9" s="271"/>
      <c r="C9" s="51">
        <v>7</v>
      </c>
      <c r="D9" s="52">
        <v>7</v>
      </c>
      <c r="E9" s="53" t="s">
        <v>71</v>
      </c>
      <c r="F9" s="53">
        <v>0</v>
      </c>
      <c r="G9" s="43"/>
      <c r="H9" s="43" t="s">
        <v>81</v>
      </c>
      <c r="I9" s="43"/>
      <c r="J9" s="53" t="s">
        <v>82</v>
      </c>
      <c r="K9" s="274"/>
    </row>
    <row r="10" spans="1:11" ht="15.75" thickBot="1">
      <c r="A10" s="269"/>
      <c r="B10" s="272"/>
      <c r="C10" s="55"/>
      <c r="D10" s="55"/>
      <c r="E10" s="55"/>
      <c r="F10" s="55"/>
      <c r="G10" s="55"/>
      <c r="H10" s="56" t="s">
        <v>83</v>
      </c>
      <c r="I10" s="55"/>
      <c r="J10" s="55"/>
      <c r="K10" s="275"/>
    </row>
    <row r="11" spans="1:11" ht="15.75" thickBot="1">
      <c r="A11" s="276" t="s">
        <v>84</v>
      </c>
      <c r="B11" s="270" t="s">
        <v>70</v>
      </c>
      <c r="C11" s="51">
        <v>0</v>
      </c>
      <c r="D11" s="52">
        <v>7</v>
      </c>
      <c r="E11" s="53" t="s">
        <v>71</v>
      </c>
      <c r="F11" s="53">
        <v>0</v>
      </c>
      <c r="G11" s="54"/>
      <c r="H11" s="54"/>
      <c r="I11" s="54"/>
      <c r="J11" s="53" t="s">
        <v>85</v>
      </c>
      <c r="K11" s="273" t="s">
        <v>86</v>
      </c>
    </row>
    <row r="12" spans="1:11" ht="15.75" thickBot="1">
      <c r="A12" s="277"/>
      <c r="B12" s="271"/>
      <c r="C12" s="51">
        <v>1</v>
      </c>
      <c r="D12" s="52">
        <v>7</v>
      </c>
      <c r="E12" s="53" t="s">
        <v>71</v>
      </c>
      <c r="F12" s="53">
        <v>0</v>
      </c>
      <c r="G12" s="43"/>
      <c r="H12" s="43"/>
      <c r="I12" s="43"/>
      <c r="J12" s="53" t="s">
        <v>87</v>
      </c>
      <c r="K12" s="274"/>
    </row>
    <row r="13" spans="1:11" ht="15.75" thickBot="1">
      <c r="A13" s="277"/>
      <c r="B13" s="271"/>
      <c r="C13" s="51">
        <v>2</v>
      </c>
      <c r="D13" s="52">
        <v>7</v>
      </c>
      <c r="E13" s="53" t="s">
        <v>71</v>
      </c>
      <c r="F13" s="53">
        <v>0</v>
      </c>
      <c r="G13" s="279"/>
      <c r="H13" s="281" t="s">
        <v>88</v>
      </c>
      <c r="I13" s="283" t="s">
        <v>89</v>
      </c>
      <c r="J13" s="285" t="s">
        <v>90</v>
      </c>
      <c r="K13" s="274"/>
    </row>
    <row r="14" spans="1:11" ht="15.75" thickBot="1">
      <c r="A14" s="277"/>
      <c r="B14" s="271"/>
      <c r="C14" s="51">
        <v>3</v>
      </c>
      <c r="D14" s="52">
        <v>7</v>
      </c>
      <c r="E14" s="53" t="s">
        <v>71</v>
      </c>
      <c r="F14" s="53">
        <v>4</v>
      </c>
      <c r="G14" s="280"/>
      <c r="H14" s="282"/>
      <c r="I14" s="284"/>
      <c r="J14" s="286"/>
      <c r="K14" s="274"/>
    </row>
    <row r="15" spans="1:11" ht="15.75" thickBot="1">
      <c r="A15" s="277"/>
      <c r="B15" s="271"/>
      <c r="C15" s="51">
        <v>3</v>
      </c>
      <c r="D15" s="52">
        <v>3</v>
      </c>
      <c r="E15" s="53" t="s">
        <v>71</v>
      </c>
      <c r="F15" s="53">
        <v>0</v>
      </c>
      <c r="G15" s="43"/>
      <c r="H15" s="43"/>
      <c r="I15" s="43"/>
      <c r="J15" s="53" t="s">
        <v>91</v>
      </c>
      <c r="K15" s="274"/>
    </row>
    <row r="16" spans="1:11" ht="15.75" thickBot="1">
      <c r="A16" s="277"/>
      <c r="B16" s="271"/>
      <c r="C16" s="51">
        <v>4</v>
      </c>
      <c r="D16" s="52">
        <v>7</v>
      </c>
      <c r="E16" s="53" t="s">
        <v>71</v>
      </c>
      <c r="F16" s="53">
        <v>0</v>
      </c>
      <c r="G16" s="43"/>
      <c r="H16" s="43"/>
      <c r="I16" s="43"/>
      <c r="J16" s="53" t="s">
        <v>92</v>
      </c>
      <c r="K16" s="274"/>
    </row>
    <row r="17" spans="1:11" ht="15.75" thickBot="1">
      <c r="A17" s="277"/>
      <c r="B17" s="271"/>
      <c r="C17" s="51">
        <v>5</v>
      </c>
      <c r="D17" s="52">
        <v>7</v>
      </c>
      <c r="E17" s="53" t="s">
        <v>71</v>
      </c>
      <c r="F17" s="53">
        <v>0</v>
      </c>
      <c r="G17" s="43"/>
      <c r="H17" s="43"/>
      <c r="I17" s="43"/>
      <c r="J17" s="53" t="s">
        <v>93</v>
      </c>
      <c r="K17" s="274"/>
    </row>
    <row r="18" spans="1:11" ht="15.75" thickBot="1">
      <c r="A18" s="277"/>
      <c r="B18" s="271"/>
      <c r="C18" s="51">
        <v>6</v>
      </c>
      <c r="D18" s="52">
        <v>7</v>
      </c>
      <c r="E18" s="53" t="s">
        <v>71</v>
      </c>
      <c r="F18" s="53">
        <v>0</v>
      </c>
      <c r="G18" s="43"/>
      <c r="H18" s="43"/>
      <c r="I18" s="43"/>
      <c r="J18" s="53" t="s">
        <v>94</v>
      </c>
      <c r="K18" s="274"/>
    </row>
    <row r="19" spans="1:11" ht="27" thickBot="1">
      <c r="A19" s="277"/>
      <c r="B19" s="271"/>
      <c r="C19" s="51">
        <v>7</v>
      </c>
      <c r="D19" s="52">
        <v>7</v>
      </c>
      <c r="E19" s="53" t="s">
        <v>71</v>
      </c>
      <c r="F19" s="53">
        <v>0</v>
      </c>
      <c r="G19" s="43"/>
      <c r="H19" s="43" t="s">
        <v>95</v>
      </c>
      <c r="I19" s="43"/>
      <c r="J19" s="53" t="s">
        <v>96</v>
      </c>
      <c r="K19" s="274"/>
    </row>
    <row r="20" spans="1:11" ht="15.75" thickBot="1">
      <c r="A20" s="278"/>
      <c r="B20" s="272"/>
      <c r="C20" s="55"/>
      <c r="D20" s="55"/>
      <c r="E20" s="55"/>
      <c r="F20" s="55"/>
      <c r="G20" s="55"/>
      <c r="H20" s="56" t="s">
        <v>97</v>
      </c>
      <c r="I20" s="55"/>
      <c r="J20" s="57" t="s">
        <v>98</v>
      </c>
      <c r="K20" s="275"/>
    </row>
    <row r="21" spans="1:11" ht="29.25" thickBot="1">
      <c r="A21" s="267" t="s">
        <v>99</v>
      </c>
      <c r="B21" s="270" t="s">
        <v>70</v>
      </c>
      <c r="C21" s="51">
        <v>0</v>
      </c>
      <c r="D21" s="52">
        <v>7</v>
      </c>
      <c r="E21" s="53" t="s">
        <v>71</v>
      </c>
      <c r="F21" s="53">
        <v>0</v>
      </c>
      <c r="G21" s="54"/>
      <c r="H21" s="53" t="s">
        <v>100</v>
      </c>
      <c r="I21" s="54"/>
      <c r="J21" s="53" t="s">
        <v>101</v>
      </c>
      <c r="K21" s="273" t="s">
        <v>102</v>
      </c>
    </row>
    <row r="22" spans="1:11" ht="15.75" thickBot="1">
      <c r="A22" s="268"/>
      <c r="B22" s="271"/>
      <c r="C22" s="51">
        <v>1</v>
      </c>
      <c r="D22" s="52">
        <v>7</v>
      </c>
      <c r="E22" s="53" t="s">
        <v>71</v>
      </c>
      <c r="F22" s="53">
        <v>0</v>
      </c>
      <c r="G22" s="43"/>
      <c r="H22" s="43"/>
      <c r="I22" s="43"/>
      <c r="J22" s="53" t="s">
        <v>103</v>
      </c>
      <c r="K22" s="274"/>
    </row>
    <row r="23" spans="1:11" ht="15.75" thickBot="1">
      <c r="A23" s="268"/>
      <c r="B23" s="271"/>
      <c r="C23" s="283">
        <v>2</v>
      </c>
      <c r="D23" s="52">
        <v>7</v>
      </c>
      <c r="E23" s="53" t="s">
        <v>71</v>
      </c>
      <c r="F23" s="53">
        <v>4</v>
      </c>
      <c r="G23" s="43"/>
      <c r="H23" s="43"/>
      <c r="I23" s="43"/>
      <c r="J23" s="53" t="s">
        <v>104</v>
      </c>
      <c r="K23" s="274"/>
    </row>
    <row r="24" spans="1:11" ht="15.75" thickBot="1">
      <c r="A24" s="268"/>
      <c r="B24" s="271"/>
      <c r="C24" s="284"/>
      <c r="D24" s="52">
        <v>3</v>
      </c>
      <c r="E24" s="53" t="s">
        <v>71</v>
      </c>
      <c r="F24" s="53">
        <v>0</v>
      </c>
      <c r="G24" s="287"/>
      <c r="H24" s="285" t="s">
        <v>105</v>
      </c>
      <c r="I24" s="283" t="s">
        <v>89</v>
      </c>
      <c r="J24" s="285" t="s">
        <v>106</v>
      </c>
      <c r="K24" s="274"/>
    </row>
    <row r="25" spans="1:11" ht="15.75" thickBot="1">
      <c r="A25" s="268"/>
      <c r="B25" s="271"/>
      <c r="C25" s="51">
        <v>3</v>
      </c>
      <c r="D25" s="52">
        <v>7</v>
      </c>
      <c r="E25" s="53" t="s">
        <v>71</v>
      </c>
      <c r="F25" s="53">
        <v>0</v>
      </c>
      <c r="G25" s="288"/>
      <c r="H25" s="286"/>
      <c r="I25" s="284"/>
      <c r="J25" s="286"/>
      <c r="K25" s="274"/>
    </row>
    <row r="26" spans="1:11" ht="15.75" thickBot="1">
      <c r="A26" s="268"/>
      <c r="B26" s="271"/>
      <c r="C26" s="51">
        <v>4</v>
      </c>
      <c r="D26" s="52">
        <v>7</v>
      </c>
      <c r="E26" s="53" t="s">
        <v>71</v>
      </c>
      <c r="F26" s="53">
        <v>0</v>
      </c>
      <c r="G26" s="287"/>
      <c r="H26" s="285" t="s">
        <v>107</v>
      </c>
      <c r="I26" s="283" t="s">
        <v>89</v>
      </c>
      <c r="J26" s="285" t="s">
        <v>108</v>
      </c>
      <c r="K26" s="274"/>
    </row>
    <row r="27" spans="1:11" ht="15.75" thickBot="1">
      <c r="A27" s="268"/>
      <c r="B27" s="271"/>
      <c r="C27" s="51">
        <v>5</v>
      </c>
      <c r="D27" s="52">
        <v>7</v>
      </c>
      <c r="E27" s="53" t="s">
        <v>71</v>
      </c>
      <c r="F27" s="53">
        <v>0</v>
      </c>
      <c r="G27" s="288"/>
      <c r="H27" s="286"/>
      <c r="I27" s="284"/>
      <c r="J27" s="286"/>
      <c r="K27" s="274"/>
    </row>
    <row r="28" spans="1:11" ht="29.25" thickBot="1">
      <c r="A28" s="268"/>
      <c r="B28" s="271"/>
      <c r="C28" s="51">
        <v>6</v>
      </c>
      <c r="D28" s="52">
        <v>7</v>
      </c>
      <c r="E28" s="53" t="s">
        <v>71</v>
      </c>
      <c r="F28" s="53">
        <v>0</v>
      </c>
      <c r="G28" s="43"/>
      <c r="H28" s="43" t="s">
        <v>109</v>
      </c>
      <c r="I28" s="43"/>
      <c r="J28" s="53" t="s">
        <v>110</v>
      </c>
      <c r="K28" s="274"/>
    </row>
    <row r="29" spans="1:11" ht="15.75" thickBot="1">
      <c r="A29" s="268"/>
      <c r="B29" s="271"/>
      <c r="C29" s="51">
        <v>7</v>
      </c>
      <c r="D29" s="52">
        <v>7</v>
      </c>
      <c r="E29" s="53" t="s">
        <v>71</v>
      </c>
      <c r="F29" s="53">
        <v>0</v>
      </c>
      <c r="G29" s="43"/>
      <c r="H29" s="43" t="s">
        <v>111</v>
      </c>
      <c r="I29" s="43"/>
      <c r="J29" s="53" t="s">
        <v>96</v>
      </c>
      <c r="K29" s="274"/>
    </row>
    <row r="30" spans="1:11" ht="15.75" thickBot="1">
      <c r="A30" s="269"/>
      <c r="B30" s="272"/>
      <c r="C30" s="55"/>
      <c r="D30" s="55"/>
      <c r="E30" s="55"/>
      <c r="F30" s="55"/>
      <c r="G30" s="55"/>
      <c r="H30" s="55"/>
      <c r="I30" s="55"/>
      <c r="J30" s="55"/>
      <c r="K30" s="275"/>
    </row>
    <row r="31" spans="1:11" ht="15.75" thickBot="1">
      <c r="A31" s="276" t="s">
        <v>112</v>
      </c>
      <c r="B31" s="270" t="s">
        <v>70</v>
      </c>
      <c r="C31" s="51">
        <v>0</v>
      </c>
      <c r="D31" s="52">
        <v>7</v>
      </c>
      <c r="E31" s="53" t="s">
        <v>71</v>
      </c>
      <c r="F31" s="53">
        <v>0</v>
      </c>
      <c r="G31" s="289" t="s">
        <v>113</v>
      </c>
      <c r="H31" s="290" t="s">
        <v>114</v>
      </c>
      <c r="I31" s="289" t="s">
        <v>89</v>
      </c>
      <c r="J31" s="290" t="s">
        <v>115</v>
      </c>
      <c r="K31" s="273" t="s">
        <v>116</v>
      </c>
    </row>
    <row r="32" spans="1:11" ht="15.75" thickBot="1">
      <c r="A32" s="277"/>
      <c r="B32" s="271"/>
      <c r="C32" s="283">
        <v>1</v>
      </c>
      <c r="D32" s="52">
        <v>7</v>
      </c>
      <c r="E32" s="53" t="s">
        <v>71</v>
      </c>
      <c r="F32" s="53">
        <v>5</v>
      </c>
      <c r="G32" s="284"/>
      <c r="H32" s="286"/>
      <c r="I32" s="284"/>
      <c r="J32" s="286"/>
      <c r="K32" s="274"/>
    </row>
    <row r="33" spans="1:11" ht="15.75" thickBot="1">
      <c r="A33" s="277"/>
      <c r="B33" s="271"/>
      <c r="C33" s="284"/>
      <c r="D33" s="52">
        <v>4</v>
      </c>
      <c r="E33" s="53" t="s">
        <v>71</v>
      </c>
      <c r="F33" s="53">
        <v>0</v>
      </c>
      <c r="G33" s="43"/>
      <c r="H33" s="43"/>
      <c r="I33" s="43"/>
      <c r="J33" s="54"/>
      <c r="K33" s="274"/>
    </row>
    <row r="34" spans="1:11" ht="15.75" thickBot="1">
      <c r="A34" s="277"/>
      <c r="B34" s="271"/>
      <c r="C34" s="51">
        <v>2</v>
      </c>
      <c r="D34" s="52">
        <v>7</v>
      </c>
      <c r="E34" s="53" t="s">
        <v>71</v>
      </c>
      <c r="F34" s="53">
        <v>0</v>
      </c>
      <c r="G34" s="283" t="s">
        <v>117</v>
      </c>
      <c r="H34" s="285" t="s">
        <v>118</v>
      </c>
      <c r="I34" s="283" t="s">
        <v>119</v>
      </c>
      <c r="J34" s="285" t="s">
        <v>120</v>
      </c>
      <c r="K34" s="274"/>
    </row>
    <row r="35" spans="1:11" ht="15.75" thickBot="1">
      <c r="A35" s="277"/>
      <c r="B35" s="271"/>
      <c r="C35" s="283">
        <v>3</v>
      </c>
      <c r="D35" s="52">
        <v>7</v>
      </c>
      <c r="E35" s="53" t="s">
        <v>71</v>
      </c>
      <c r="F35" s="53">
        <v>6</v>
      </c>
      <c r="G35" s="284"/>
      <c r="H35" s="286"/>
      <c r="I35" s="284"/>
      <c r="J35" s="286"/>
      <c r="K35" s="274"/>
    </row>
    <row r="36" spans="1:11" ht="15.75" thickBot="1">
      <c r="A36" s="277"/>
      <c r="B36" s="271"/>
      <c r="C36" s="284"/>
      <c r="D36" s="52">
        <v>5</v>
      </c>
      <c r="E36" s="53" t="s">
        <v>71</v>
      </c>
      <c r="F36" s="53">
        <v>0</v>
      </c>
      <c r="G36" s="43"/>
      <c r="H36" s="43"/>
      <c r="I36" s="43"/>
      <c r="J36" s="53" t="s">
        <v>121</v>
      </c>
      <c r="K36" s="274"/>
    </row>
    <row r="37" spans="1:11" ht="15.75" thickBot="1">
      <c r="A37" s="277"/>
      <c r="B37" s="271"/>
      <c r="C37" s="51">
        <v>4</v>
      </c>
      <c r="D37" s="52">
        <v>7</v>
      </c>
      <c r="E37" s="53" t="s">
        <v>71</v>
      </c>
      <c r="F37" s="53">
        <v>0</v>
      </c>
      <c r="G37" s="43"/>
      <c r="H37" s="43"/>
      <c r="I37" s="43"/>
      <c r="J37" s="53">
        <v>0</v>
      </c>
      <c r="K37" s="274"/>
    </row>
    <row r="38" spans="1:11" ht="15.75" thickBot="1">
      <c r="A38" s="277"/>
      <c r="B38" s="271"/>
      <c r="C38" s="51">
        <v>5</v>
      </c>
      <c r="D38" s="52">
        <v>7</v>
      </c>
      <c r="E38" s="53" t="s">
        <v>71</v>
      </c>
      <c r="F38" s="53">
        <v>0</v>
      </c>
      <c r="G38" s="43"/>
      <c r="H38" s="43"/>
      <c r="I38" s="43"/>
      <c r="J38" s="53">
        <v>0</v>
      </c>
      <c r="K38" s="274"/>
    </row>
    <row r="39" spans="1:11" ht="15.75" thickBot="1">
      <c r="A39" s="277"/>
      <c r="B39" s="271"/>
      <c r="C39" s="51">
        <v>6</v>
      </c>
      <c r="D39" s="52">
        <v>7</v>
      </c>
      <c r="E39" s="53" t="s">
        <v>71</v>
      </c>
      <c r="F39" s="53">
        <v>0</v>
      </c>
      <c r="G39" s="43"/>
      <c r="H39" s="43" t="s">
        <v>122</v>
      </c>
      <c r="I39" s="43"/>
      <c r="J39" s="53" t="s">
        <v>80</v>
      </c>
      <c r="K39" s="274"/>
    </row>
    <row r="40" spans="1:11" ht="15.75" thickBot="1">
      <c r="A40" s="277"/>
      <c r="B40" s="271"/>
      <c r="C40" s="51">
        <v>7</v>
      </c>
      <c r="D40" s="52">
        <v>7</v>
      </c>
      <c r="E40" s="53" t="s">
        <v>71</v>
      </c>
      <c r="F40" s="53">
        <v>0</v>
      </c>
      <c r="G40" s="43"/>
      <c r="H40" s="43" t="s">
        <v>123</v>
      </c>
      <c r="I40" s="43"/>
      <c r="J40" s="53" t="s">
        <v>96</v>
      </c>
      <c r="K40" s="274"/>
    </row>
    <row r="41" spans="1:11" ht="15.75" thickBot="1">
      <c r="A41" s="278"/>
      <c r="B41" s="272"/>
      <c r="C41" s="55"/>
      <c r="D41" s="55"/>
      <c r="E41" s="55"/>
      <c r="F41" s="55"/>
      <c r="G41" s="55"/>
      <c r="H41" s="55"/>
      <c r="I41" s="55"/>
      <c r="J41" s="55"/>
      <c r="K41" s="275"/>
    </row>
    <row r="42" spans="1:11" ht="15.75" thickBot="1">
      <c r="A42" s="276" t="s">
        <v>124</v>
      </c>
      <c r="B42" s="270" t="s">
        <v>70</v>
      </c>
      <c r="C42" s="51">
        <v>0</v>
      </c>
      <c r="D42" s="52">
        <v>7</v>
      </c>
      <c r="E42" s="53" t="s">
        <v>71</v>
      </c>
      <c r="F42" s="53">
        <v>0</v>
      </c>
      <c r="G42" s="54"/>
      <c r="H42" s="53" t="s">
        <v>125</v>
      </c>
      <c r="I42" s="54"/>
      <c r="J42" s="53" t="s">
        <v>126</v>
      </c>
      <c r="K42" s="273" t="s">
        <v>116</v>
      </c>
    </row>
    <row r="43" spans="1:11" ht="15.75" thickBot="1">
      <c r="A43" s="277"/>
      <c r="B43" s="271"/>
      <c r="C43" s="51">
        <v>1</v>
      </c>
      <c r="D43" s="52">
        <v>7</v>
      </c>
      <c r="E43" s="53" t="s">
        <v>71</v>
      </c>
      <c r="F43" s="53">
        <v>0</v>
      </c>
      <c r="G43" s="43"/>
      <c r="H43" s="281" t="s">
        <v>127</v>
      </c>
      <c r="I43" s="43"/>
      <c r="J43" s="53" t="s">
        <v>128</v>
      </c>
      <c r="K43" s="274"/>
    </row>
    <row r="44" spans="1:11" ht="15.75" thickBot="1">
      <c r="A44" s="277"/>
      <c r="B44" s="271"/>
      <c r="C44" s="51">
        <v>2</v>
      </c>
      <c r="D44" s="52">
        <v>7</v>
      </c>
      <c r="E44" s="53" t="s">
        <v>71</v>
      </c>
      <c r="F44" s="53">
        <v>4</v>
      </c>
      <c r="G44" s="43"/>
      <c r="H44" s="282"/>
      <c r="I44" s="43"/>
      <c r="J44" s="53" t="s">
        <v>129</v>
      </c>
      <c r="K44" s="274"/>
    </row>
    <row r="45" spans="1:11" ht="15.75" thickBot="1">
      <c r="A45" s="277"/>
      <c r="B45" s="271"/>
      <c r="C45" s="51">
        <v>2</v>
      </c>
      <c r="D45" s="52">
        <v>3</v>
      </c>
      <c r="E45" s="53" t="s">
        <v>71</v>
      </c>
      <c r="F45" s="53">
        <v>0</v>
      </c>
      <c r="G45" s="43"/>
      <c r="H45" s="43"/>
      <c r="I45" s="43"/>
      <c r="J45" s="54"/>
      <c r="K45" s="274"/>
    </row>
    <row r="46" spans="1:11" ht="15.75" thickBot="1">
      <c r="A46" s="277"/>
      <c r="B46" s="271"/>
      <c r="C46" s="51">
        <v>3</v>
      </c>
      <c r="D46" s="52">
        <v>7</v>
      </c>
      <c r="E46" s="53" t="s">
        <v>71</v>
      </c>
      <c r="F46" s="53">
        <v>0</v>
      </c>
      <c r="G46" s="43"/>
      <c r="H46" s="43" t="s">
        <v>130</v>
      </c>
      <c r="I46" s="43"/>
      <c r="J46" s="53" t="s">
        <v>131</v>
      </c>
      <c r="K46" s="274"/>
    </row>
    <row r="47" spans="1:11" ht="15.75" thickBot="1">
      <c r="A47" s="277"/>
      <c r="B47" s="271"/>
      <c r="C47" s="51">
        <v>4</v>
      </c>
      <c r="D47" s="52">
        <v>7</v>
      </c>
      <c r="E47" s="53" t="s">
        <v>71</v>
      </c>
      <c r="F47" s="53">
        <v>0</v>
      </c>
      <c r="G47" s="43"/>
      <c r="H47" s="43"/>
      <c r="I47" s="43"/>
      <c r="J47" s="53" t="s">
        <v>132</v>
      </c>
      <c r="K47" s="274"/>
    </row>
    <row r="48" spans="1:11" ht="15.75" thickBot="1">
      <c r="A48" s="277"/>
      <c r="B48" s="271"/>
      <c r="C48" s="51">
        <v>5</v>
      </c>
      <c r="D48" s="52">
        <v>7</v>
      </c>
      <c r="E48" s="53" t="s">
        <v>71</v>
      </c>
      <c r="F48" s="53">
        <v>0</v>
      </c>
      <c r="G48" s="43"/>
      <c r="H48" s="43"/>
      <c r="I48" s="43"/>
      <c r="J48" s="53" t="s">
        <v>133</v>
      </c>
      <c r="K48" s="274"/>
    </row>
    <row r="49" spans="1:11" ht="15.75" thickBot="1">
      <c r="A49" s="277"/>
      <c r="B49" s="271"/>
      <c r="C49" s="51">
        <v>6</v>
      </c>
      <c r="D49" s="52">
        <v>7</v>
      </c>
      <c r="E49" s="53" t="s">
        <v>71</v>
      </c>
      <c r="F49" s="53">
        <v>0</v>
      </c>
      <c r="G49" s="43"/>
      <c r="H49" s="43"/>
      <c r="I49" s="43"/>
      <c r="J49" s="53" t="s">
        <v>134</v>
      </c>
      <c r="K49" s="274"/>
    </row>
    <row r="50" spans="1:11" ht="15.75" thickBot="1">
      <c r="A50" s="277"/>
      <c r="B50" s="271"/>
      <c r="C50" s="51">
        <v>7</v>
      </c>
      <c r="D50" s="52">
        <v>7</v>
      </c>
      <c r="E50" s="53" t="s">
        <v>71</v>
      </c>
      <c r="F50" s="53">
        <v>0</v>
      </c>
      <c r="G50" s="43"/>
      <c r="H50" s="43" t="s">
        <v>111</v>
      </c>
      <c r="I50" s="43"/>
      <c r="J50" s="53" t="s">
        <v>135</v>
      </c>
      <c r="K50" s="274"/>
    </row>
    <row r="51" spans="1:11" ht="15.75" thickBot="1">
      <c r="A51" s="278"/>
      <c r="B51" s="272"/>
      <c r="C51" s="55"/>
      <c r="D51" s="55"/>
      <c r="E51" s="55"/>
      <c r="F51" s="55"/>
      <c r="G51" s="55"/>
      <c r="H51" s="57" t="s">
        <v>136</v>
      </c>
      <c r="I51" s="55"/>
      <c r="J51" s="55"/>
      <c r="K51" s="275"/>
    </row>
    <row r="52" spans="1:11" ht="15.75" thickBot="1">
      <c r="A52" s="276" t="s">
        <v>137</v>
      </c>
      <c r="B52" s="270" t="s">
        <v>70</v>
      </c>
      <c r="C52" s="51">
        <v>0</v>
      </c>
      <c r="D52" s="52">
        <v>5</v>
      </c>
      <c r="E52" s="53" t="s">
        <v>71</v>
      </c>
      <c r="F52" s="53">
        <v>0</v>
      </c>
      <c r="G52" s="54"/>
      <c r="H52" s="54"/>
      <c r="I52" s="54"/>
      <c r="J52" s="53" t="s">
        <v>138</v>
      </c>
      <c r="K52" s="273" t="s">
        <v>139</v>
      </c>
    </row>
    <row r="53" spans="1:11" ht="15.75" thickBot="1">
      <c r="A53" s="277"/>
      <c r="B53" s="271"/>
      <c r="C53" s="51">
        <v>0</v>
      </c>
      <c r="D53" s="52">
        <v>7</v>
      </c>
      <c r="E53" s="53" t="s">
        <v>71</v>
      </c>
      <c r="F53" s="53">
        <v>6</v>
      </c>
      <c r="G53" s="43"/>
      <c r="H53" s="281" t="s">
        <v>140</v>
      </c>
      <c r="I53" s="43"/>
      <c r="J53" s="54"/>
      <c r="K53" s="274"/>
    </row>
    <row r="54" spans="1:11" ht="15.75" thickBot="1">
      <c r="A54" s="277"/>
      <c r="B54" s="271"/>
      <c r="C54" s="51">
        <v>1</v>
      </c>
      <c r="D54" s="52">
        <v>7</v>
      </c>
      <c r="E54" s="53" t="s">
        <v>71</v>
      </c>
      <c r="F54" s="53">
        <v>0</v>
      </c>
      <c r="G54" s="43"/>
      <c r="H54" s="282"/>
      <c r="I54" s="43"/>
      <c r="J54" s="53" t="s">
        <v>141</v>
      </c>
      <c r="K54" s="274"/>
    </row>
    <row r="55" spans="1:11" ht="15.75" thickBot="1">
      <c r="A55" s="277"/>
      <c r="B55" s="271"/>
      <c r="C55" s="51">
        <v>2</v>
      </c>
      <c r="D55" s="52">
        <v>7</v>
      </c>
      <c r="E55" s="53" t="s">
        <v>71</v>
      </c>
      <c r="F55" s="53">
        <v>0</v>
      </c>
      <c r="G55" s="43"/>
      <c r="H55" s="43"/>
      <c r="I55" s="43"/>
      <c r="J55" s="53" t="s">
        <v>142</v>
      </c>
      <c r="K55" s="274"/>
    </row>
    <row r="56" spans="1:11" ht="15.75" thickBot="1">
      <c r="A56" s="277"/>
      <c r="B56" s="271"/>
      <c r="C56" s="51">
        <v>3</v>
      </c>
      <c r="D56" s="52">
        <v>7</v>
      </c>
      <c r="E56" s="53" t="s">
        <v>71</v>
      </c>
      <c r="F56" s="53">
        <v>0</v>
      </c>
      <c r="G56" s="43"/>
      <c r="H56" s="43"/>
      <c r="I56" s="43"/>
      <c r="J56" s="53">
        <v>0</v>
      </c>
      <c r="K56" s="274"/>
    </row>
    <row r="57" spans="1:11" ht="15.75" thickBot="1">
      <c r="A57" s="277"/>
      <c r="B57" s="271"/>
      <c r="C57" s="51">
        <v>4</v>
      </c>
      <c r="D57" s="52">
        <v>7</v>
      </c>
      <c r="E57" s="53" t="s">
        <v>71</v>
      </c>
      <c r="F57" s="53">
        <v>0</v>
      </c>
      <c r="G57" s="43"/>
      <c r="H57" s="43"/>
      <c r="I57" s="43"/>
      <c r="J57" s="53">
        <v>0</v>
      </c>
      <c r="K57" s="274"/>
    </row>
    <row r="58" spans="1:11" ht="15.75" thickBot="1">
      <c r="A58" s="277"/>
      <c r="B58" s="271"/>
      <c r="C58" s="51">
        <v>5</v>
      </c>
      <c r="D58" s="52">
        <v>7</v>
      </c>
      <c r="E58" s="53" t="s">
        <v>71</v>
      </c>
      <c r="F58" s="53">
        <v>0</v>
      </c>
      <c r="G58" s="43"/>
      <c r="H58" s="43" t="s">
        <v>143</v>
      </c>
      <c r="I58" s="43"/>
      <c r="J58" s="53" t="s">
        <v>144</v>
      </c>
      <c r="K58" s="274"/>
    </row>
    <row r="59" spans="1:11" ht="15.75" thickBot="1">
      <c r="A59" s="277"/>
      <c r="B59" s="271"/>
      <c r="C59" s="51">
        <v>6</v>
      </c>
      <c r="D59" s="52">
        <v>7</v>
      </c>
      <c r="E59" s="53" t="s">
        <v>71</v>
      </c>
      <c r="F59" s="53">
        <v>0</v>
      </c>
      <c r="G59" s="43"/>
      <c r="H59" s="43" t="s">
        <v>145</v>
      </c>
      <c r="I59" s="43"/>
      <c r="J59" s="53" t="s">
        <v>80</v>
      </c>
      <c r="K59" s="274"/>
    </row>
    <row r="60" spans="1:11" ht="15.75" thickBot="1">
      <c r="A60" s="277"/>
      <c r="B60" s="271"/>
      <c r="C60" s="51">
        <v>7</v>
      </c>
      <c r="D60" s="52">
        <v>7</v>
      </c>
      <c r="E60" s="53" t="s">
        <v>71</v>
      </c>
      <c r="F60" s="53">
        <v>0</v>
      </c>
      <c r="G60" s="43"/>
      <c r="H60" s="43" t="s">
        <v>146</v>
      </c>
      <c r="I60" s="43"/>
      <c r="J60" s="53" t="s">
        <v>147</v>
      </c>
      <c r="K60" s="274"/>
    </row>
    <row r="61" spans="1:11" ht="15.75" thickBot="1">
      <c r="A61" s="278"/>
      <c r="B61" s="272"/>
      <c r="C61" s="55"/>
      <c r="D61" s="55"/>
      <c r="E61" s="55"/>
      <c r="F61" s="55"/>
      <c r="G61" s="55"/>
      <c r="H61" s="55"/>
      <c r="I61" s="55"/>
      <c r="J61" s="55"/>
      <c r="K61" s="275"/>
    </row>
    <row r="62" spans="1:11" ht="15.75" thickBot="1">
      <c r="A62" s="276">
        <v>284</v>
      </c>
      <c r="B62" s="297" t="s">
        <v>148</v>
      </c>
      <c r="C62" s="51">
        <v>0</v>
      </c>
      <c r="D62" s="52">
        <v>7</v>
      </c>
      <c r="E62" s="53" t="s">
        <v>71</v>
      </c>
      <c r="F62" s="53">
        <v>0</v>
      </c>
      <c r="G62" s="300"/>
      <c r="H62" s="301" t="s">
        <v>149</v>
      </c>
      <c r="I62" s="290" t="s">
        <v>89</v>
      </c>
      <c r="J62" s="53" t="s">
        <v>150</v>
      </c>
      <c r="K62" s="273" t="s">
        <v>151</v>
      </c>
    </row>
    <row r="63" spans="1:11" ht="15.75" thickBot="1">
      <c r="A63" s="277"/>
      <c r="B63" s="298"/>
      <c r="C63" s="51">
        <v>1</v>
      </c>
      <c r="D63" s="52">
        <v>7</v>
      </c>
      <c r="E63" s="53" t="s">
        <v>71</v>
      </c>
      <c r="F63" s="53">
        <v>0</v>
      </c>
      <c r="G63" s="288"/>
      <c r="H63" s="302"/>
      <c r="I63" s="303"/>
      <c r="J63" s="53" t="s">
        <v>96</v>
      </c>
      <c r="K63" s="274"/>
    </row>
    <row r="64" spans="1:11" ht="15.75" thickBot="1">
      <c r="A64" s="277"/>
      <c r="B64" s="298"/>
      <c r="C64" s="51">
        <v>2</v>
      </c>
      <c r="D64" s="52">
        <v>7</v>
      </c>
      <c r="E64" s="53" t="s">
        <v>71</v>
      </c>
      <c r="F64" s="53">
        <v>0</v>
      </c>
      <c r="G64" s="279"/>
      <c r="H64" s="281" t="s">
        <v>152</v>
      </c>
      <c r="I64" s="290" t="s">
        <v>89</v>
      </c>
      <c r="J64" s="53" t="s">
        <v>150</v>
      </c>
      <c r="K64" s="274"/>
    </row>
    <row r="65" spans="1:11" ht="15.75" thickBot="1">
      <c r="A65" s="277"/>
      <c r="B65" s="298"/>
      <c r="C65" s="51">
        <v>3</v>
      </c>
      <c r="D65" s="52">
        <v>7</v>
      </c>
      <c r="E65" s="53" t="s">
        <v>71</v>
      </c>
      <c r="F65" s="53">
        <v>0</v>
      </c>
      <c r="G65" s="280"/>
      <c r="H65" s="282"/>
      <c r="I65" s="286"/>
      <c r="J65" s="53" t="s">
        <v>96</v>
      </c>
      <c r="K65" s="274"/>
    </row>
    <row r="66" spans="1:11" ht="15.75" thickBot="1">
      <c r="A66" s="277"/>
      <c r="B66" s="298"/>
      <c r="C66" s="51">
        <v>4</v>
      </c>
      <c r="D66" s="52">
        <v>7</v>
      </c>
      <c r="E66" s="53" t="s">
        <v>71</v>
      </c>
      <c r="F66" s="53">
        <v>0</v>
      </c>
      <c r="G66" s="279"/>
      <c r="H66" s="281" t="s">
        <v>153</v>
      </c>
      <c r="I66" s="281" t="s">
        <v>89</v>
      </c>
      <c r="J66" s="53" t="s">
        <v>154</v>
      </c>
      <c r="K66" s="274"/>
    </row>
    <row r="67" spans="1:11" ht="15.75" thickBot="1">
      <c r="A67" s="277"/>
      <c r="B67" s="298"/>
      <c r="C67" s="51">
        <v>5</v>
      </c>
      <c r="D67" s="52">
        <v>7</v>
      </c>
      <c r="E67" s="53" t="s">
        <v>71</v>
      </c>
      <c r="F67" s="53">
        <v>0</v>
      </c>
      <c r="G67" s="280"/>
      <c r="H67" s="282"/>
      <c r="I67" s="282"/>
      <c r="J67" s="53" t="s">
        <v>96</v>
      </c>
      <c r="K67" s="274"/>
    </row>
    <row r="68" spans="1:11" ht="15.75" thickBot="1">
      <c r="A68" s="277"/>
      <c r="B68" s="298"/>
      <c r="C68" s="51">
        <v>6</v>
      </c>
      <c r="D68" s="52">
        <v>7</v>
      </c>
      <c r="E68" s="53" t="s">
        <v>71</v>
      </c>
      <c r="F68" s="53">
        <v>0</v>
      </c>
      <c r="G68" s="43"/>
      <c r="H68" s="43" t="s">
        <v>155</v>
      </c>
      <c r="I68" s="43" t="s">
        <v>89</v>
      </c>
      <c r="J68" s="53" t="s">
        <v>156</v>
      </c>
      <c r="K68" s="274"/>
    </row>
    <row r="69" spans="1:11" ht="15.75" thickBot="1">
      <c r="A69" s="277"/>
      <c r="B69" s="298"/>
      <c r="C69" s="51">
        <v>7</v>
      </c>
      <c r="D69" s="52">
        <v>7</v>
      </c>
      <c r="E69" s="53" t="s">
        <v>71</v>
      </c>
      <c r="F69" s="53">
        <v>0</v>
      </c>
      <c r="G69" s="43"/>
      <c r="H69" s="43" t="s">
        <v>155</v>
      </c>
      <c r="I69" s="43" t="s">
        <v>89</v>
      </c>
      <c r="J69" s="53" t="s">
        <v>96</v>
      </c>
      <c r="K69" s="274"/>
    </row>
    <row r="70" spans="1:11" ht="15.75" thickBot="1">
      <c r="A70" s="278"/>
      <c r="B70" s="299"/>
      <c r="C70" s="55"/>
      <c r="D70" s="55"/>
      <c r="E70" s="55"/>
      <c r="F70" s="55"/>
      <c r="G70" s="55"/>
      <c r="H70" s="57" t="s">
        <v>157</v>
      </c>
      <c r="I70" s="55"/>
      <c r="J70" s="55"/>
      <c r="K70" s="275"/>
    </row>
    <row r="71" spans="1:11" ht="15.75" thickBot="1">
      <c r="A71" s="276">
        <v>380</v>
      </c>
      <c r="B71" s="291" t="s">
        <v>158</v>
      </c>
      <c r="C71" s="51">
        <v>0</v>
      </c>
      <c r="D71" s="52">
        <v>7</v>
      </c>
      <c r="E71" s="53" t="s">
        <v>71</v>
      </c>
      <c r="F71" s="53">
        <v>0</v>
      </c>
      <c r="G71" s="54"/>
      <c r="H71" s="54"/>
      <c r="I71" s="54"/>
      <c r="J71" s="53" t="s">
        <v>159</v>
      </c>
      <c r="K71" s="273" t="s">
        <v>160</v>
      </c>
    </row>
    <row r="72" spans="1:11" ht="15.75" thickBot="1">
      <c r="A72" s="277"/>
      <c r="B72" s="292"/>
      <c r="C72" s="51">
        <v>1</v>
      </c>
      <c r="D72" s="52">
        <v>7</v>
      </c>
      <c r="E72" s="53" t="s">
        <v>71</v>
      </c>
      <c r="F72" s="53">
        <v>0</v>
      </c>
      <c r="G72" s="43"/>
      <c r="H72" s="43"/>
      <c r="I72" s="43"/>
      <c r="J72" s="53" t="s">
        <v>161</v>
      </c>
      <c r="K72" s="274"/>
    </row>
    <row r="73" spans="1:11" ht="15.75" thickBot="1">
      <c r="A73" s="277"/>
      <c r="B73" s="292"/>
      <c r="C73" s="51">
        <v>2</v>
      </c>
      <c r="D73" s="52">
        <v>7</v>
      </c>
      <c r="E73" s="53" t="s">
        <v>71</v>
      </c>
      <c r="F73" s="53">
        <v>0</v>
      </c>
      <c r="G73" s="43"/>
      <c r="H73" s="43"/>
      <c r="I73" s="43"/>
      <c r="J73" s="53" t="s">
        <v>162</v>
      </c>
      <c r="K73" s="274"/>
    </row>
    <row r="74" spans="1:11" ht="15.75" thickBot="1">
      <c r="A74" s="277"/>
      <c r="B74" s="292"/>
      <c r="C74" s="51">
        <v>3</v>
      </c>
      <c r="D74" s="52">
        <v>7</v>
      </c>
      <c r="E74" s="53" t="s">
        <v>71</v>
      </c>
      <c r="F74" s="53">
        <v>0</v>
      </c>
      <c r="G74" s="43"/>
      <c r="H74" s="43" t="s">
        <v>163</v>
      </c>
      <c r="I74" s="43"/>
      <c r="J74" s="53">
        <v>21</v>
      </c>
      <c r="K74" s="274"/>
    </row>
    <row r="75" spans="1:11" ht="15.75" thickBot="1">
      <c r="A75" s="277"/>
      <c r="B75" s="292"/>
      <c r="C75" s="51">
        <v>4</v>
      </c>
      <c r="D75" s="52">
        <v>7</v>
      </c>
      <c r="E75" s="53" t="s">
        <v>71</v>
      </c>
      <c r="F75" s="53">
        <v>0</v>
      </c>
      <c r="G75" s="43"/>
      <c r="H75" s="43" t="s">
        <v>164</v>
      </c>
      <c r="I75" s="43"/>
      <c r="J75" s="53">
        <v>0</v>
      </c>
      <c r="K75" s="274"/>
    </row>
    <row r="76" spans="1:11" ht="15.75" thickBot="1">
      <c r="A76" s="277"/>
      <c r="B76" s="292"/>
      <c r="C76" s="51">
        <v>5</v>
      </c>
      <c r="D76" s="52">
        <v>7</v>
      </c>
      <c r="E76" s="53" t="s">
        <v>71</v>
      </c>
      <c r="F76" s="53">
        <v>0</v>
      </c>
      <c r="G76" s="43"/>
      <c r="H76" s="43"/>
      <c r="I76" s="43"/>
      <c r="J76" s="53">
        <v>0</v>
      </c>
      <c r="K76" s="274"/>
    </row>
    <row r="77" spans="1:11" ht="15.75" thickBot="1">
      <c r="A77" s="277"/>
      <c r="B77" s="292"/>
      <c r="C77" s="51">
        <v>6</v>
      </c>
      <c r="D77" s="52">
        <v>7</v>
      </c>
      <c r="E77" s="53" t="s">
        <v>71</v>
      </c>
      <c r="F77" s="53">
        <v>0</v>
      </c>
      <c r="G77" s="43"/>
      <c r="H77" s="43"/>
      <c r="I77" s="43"/>
      <c r="J77" s="53">
        <v>0</v>
      </c>
      <c r="K77" s="274"/>
    </row>
    <row r="78" spans="1:11" ht="15.75" thickBot="1">
      <c r="A78" s="277"/>
      <c r="B78" s="292"/>
      <c r="C78" s="51">
        <v>7</v>
      </c>
      <c r="D78" s="52">
        <v>7</v>
      </c>
      <c r="E78" s="53" t="s">
        <v>71</v>
      </c>
      <c r="F78" s="53">
        <v>0</v>
      </c>
      <c r="G78" s="43"/>
      <c r="H78" s="43"/>
      <c r="I78" s="43"/>
      <c r="J78" s="53" t="s">
        <v>165</v>
      </c>
      <c r="K78" s="274"/>
    </row>
    <row r="79" spans="1:11" ht="15.75" thickBot="1">
      <c r="A79" s="278"/>
      <c r="B79" s="293"/>
      <c r="C79" s="55"/>
      <c r="D79" s="55"/>
      <c r="E79" s="55"/>
      <c r="F79" s="55"/>
      <c r="G79" s="55"/>
      <c r="H79" s="57" t="s">
        <v>166</v>
      </c>
      <c r="I79" s="55"/>
      <c r="J79" s="55"/>
      <c r="K79" s="275"/>
    </row>
    <row r="80" spans="1:11" ht="15.75" thickBot="1">
      <c r="A80" s="276" t="s">
        <v>167</v>
      </c>
      <c r="B80" s="294" t="s">
        <v>168</v>
      </c>
      <c r="C80" s="51">
        <v>0</v>
      </c>
      <c r="D80" s="52">
        <v>7</v>
      </c>
      <c r="E80" s="53" t="s">
        <v>71</v>
      </c>
      <c r="F80" s="53">
        <v>0</v>
      </c>
      <c r="G80" s="54"/>
      <c r="H80" s="54"/>
      <c r="I80" s="54"/>
      <c r="J80" s="53" t="s">
        <v>169</v>
      </c>
      <c r="K80" s="44"/>
    </row>
    <row r="81" spans="1:11" ht="15.75" thickBot="1">
      <c r="A81" s="277"/>
      <c r="B81" s="295"/>
      <c r="C81" s="51">
        <v>1</v>
      </c>
      <c r="D81" s="52">
        <v>7</v>
      </c>
      <c r="E81" s="53" t="s">
        <v>71</v>
      </c>
      <c r="F81" s="53">
        <v>0</v>
      </c>
      <c r="G81" s="43"/>
      <c r="H81" s="43"/>
      <c r="I81" s="43"/>
      <c r="J81" s="53" t="s">
        <v>170</v>
      </c>
      <c r="K81" s="44"/>
    </row>
    <row r="82" spans="1:11" ht="15.75" thickBot="1">
      <c r="A82" s="277"/>
      <c r="B82" s="295"/>
      <c r="C82" s="51">
        <v>2</v>
      </c>
      <c r="D82" s="52">
        <v>7</v>
      </c>
      <c r="E82" s="53" t="s">
        <v>71</v>
      </c>
      <c r="F82" s="53">
        <v>0</v>
      </c>
      <c r="G82" s="43"/>
      <c r="H82" s="43"/>
      <c r="I82" s="43"/>
      <c r="J82" s="53" t="s">
        <v>171</v>
      </c>
      <c r="K82" s="44"/>
    </row>
    <row r="83" spans="1:11" ht="15.75" thickBot="1">
      <c r="A83" s="277"/>
      <c r="B83" s="295"/>
      <c r="C83" s="51">
        <v>3</v>
      </c>
      <c r="D83" s="52">
        <v>7</v>
      </c>
      <c r="E83" s="53" t="s">
        <v>71</v>
      </c>
      <c r="F83" s="53">
        <v>0</v>
      </c>
      <c r="G83" s="43"/>
      <c r="H83" s="43" t="s">
        <v>172</v>
      </c>
      <c r="I83" s="43"/>
      <c r="J83" s="53" t="s">
        <v>173</v>
      </c>
      <c r="K83" s="44"/>
    </row>
    <row r="84" spans="1:11" ht="15.75" thickBot="1">
      <c r="A84" s="277"/>
      <c r="B84" s="295"/>
      <c r="C84" s="51">
        <v>4</v>
      </c>
      <c r="D84" s="52">
        <v>7</v>
      </c>
      <c r="E84" s="53" t="s">
        <v>71</v>
      </c>
      <c r="F84" s="53">
        <v>0</v>
      </c>
      <c r="G84" s="43"/>
      <c r="H84" s="43"/>
      <c r="I84" s="43"/>
      <c r="J84" s="53" t="s">
        <v>174</v>
      </c>
      <c r="K84" s="44"/>
    </row>
    <row r="85" spans="1:11" ht="15.75" thickBot="1">
      <c r="A85" s="277"/>
      <c r="B85" s="295"/>
      <c r="C85" s="51">
        <v>5</v>
      </c>
      <c r="D85" s="52">
        <v>7</v>
      </c>
      <c r="E85" s="53" t="s">
        <v>71</v>
      </c>
      <c r="F85" s="53">
        <v>0</v>
      </c>
      <c r="G85" s="43"/>
      <c r="H85" s="43"/>
      <c r="I85" s="43"/>
      <c r="J85" s="53" t="s">
        <v>175</v>
      </c>
      <c r="K85" s="44"/>
    </row>
    <row r="86" spans="1:11" ht="15.75" thickBot="1">
      <c r="A86" s="278"/>
      <c r="B86" s="296"/>
      <c r="C86" s="55"/>
      <c r="D86" s="55"/>
      <c r="E86" s="55"/>
      <c r="F86" s="55"/>
      <c r="G86" s="55"/>
      <c r="H86" s="55"/>
      <c r="I86" s="55"/>
      <c r="J86" s="55"/>
      <c r="K86" s="58"/>
    </row>
    <row r="87" spans="1:11" ht="15.75" thickBot="1">
      <c r="A87" s="276" t="s">
        <v>176</v>
      </c>
      <c r="B87" s="294" t="s">
        <v>168</v>
      </c>
      <c r="C87" s="51">
        <v>0</v>
      </c>
      <c r="D87" s="52">
        <v>7</v>
      </c>
      <c r="E87" s="53" t="s">
        <v>71</v>
      </c>
      <c r="F87" s="53">
        <v>0</v>
      </c>
      <c r="G87" s="54"/>
      <c r="H87" s="54"/>
      <c r="I87" s="54"/>
      <c r="J87" s="53">
        <v>0</v>
      </c>
      <c r="K87" s="44"/>
    </row>
    <row r="88" spans="1:11" ht="15.75" thickBot="1">
      <c r="A88" s="277"/>
      <c r="B88" s="295"/>
      <c r="C88" s="51">
        <v>1</v>
      </c>
      <c r="D88" s="52">
        <v>7</v>
      </c>
      <c r="E88" s="53" t="s">
        <v>71</v>
      </c>
      <c r="F88" s="53">
        <v>0</v>
      </c>
      <c r="G88" s="43"/>
      <c r="H88" s="43"/>
      <c r="I88" s="43"/>
      <c r="J88" s="53">
        <v>0</v>
      </c>
      <c r="K88" s="44"/>
    </row>
    <row r="89" spans="1:11" ht="15.75" thickBot="1">
      <c r="A89" s="277"/>
      <c r="B89" s="295"/>
      <c r="C89" s="51">
        <v>2</v>
      </c>
      <c r="D89" s="52">
        <v>7</v>
      </c>
      <c r="E89" s="53" t="s">
        <v>71</v>
      </c>
      <c r="F89" s="53">
        <v>0</v>
      </c>
      <c r="G89" s="43"/>
      <c r="H89" s="43"/>
      <c r="I89" s="43"/>
      <c r="J89" s="53" t="s">
        <v>177</v>
      </c>
      <c r="K89" s="44"/>
    </row>
    <row r="90" spans="1:11" ht="15.75" thickBot="1">
      <c r="A90" s="277"/>
      <c r="B90" s="295"/>
      <c r="C90" s="51">
        <v>3</v>
      </c>
      <c r="D90" s="52">
        <v>7</v>
      </c>
      <c r="E90" s="53" t="s">
        <v>71</v>
      </c>
      <c r="F90" s="53">
        <v>0</v>
      </c>
      <c r="G90" s="43"/>
      <c r="H90" s="43"/>
      <c r="I90" s="43"/>
      <c r="J90" s="53" t="s">
        <v>178</v>
      </c>
      <c r="K90" s="44"/>
    </row>
    <row r="91" spans="1:11" ht="15.75" thickBot="1">
      <c r="A91" s="277"/>
      <c r="B91" s="295"/>
      <c r="C91" s="51">
        <v>4</v>
      </c>
      <c r="D91" s="52">
        <v>7</v>
      </c>
      <c r="E91" s="53" t="s">
        <v>71</v>
      </c>
      <c r="F91" s="53">
        <v>0</v>
      </c>
      <c r="G91" s="43"/>
      <c r="H91" s="43"/>
      <c r="I91" s="43"/>
      <c r="J91" s="53">
        <v>0</v>
      </c>
      <c r="K91" s="44"/>
    </row>
    <row r="92" spans="1:11" ht="15.75" thickBot="1">
      <c r="A92" s="277"/>
      <c r="B92" s="295"/>
      <c r="C92" s="51">
        <v>5</v>
      </c>
      <c r="D92" s="52">
        <v>7</v>
      </c>
      <c r="E92" s="53" t="s">
        <v>71</v>
      </c>
      <c r="F92" s="53">
        <v>0</v>
      </c>
      <c r="G92" s="43"/>
      <c r="H92" s="43"/>
      <c r="I92" s="43"/>
      <c r="J92" s="53" t="s">
        <v>179</v>
      </c>
      <c r="K92" s="44"/>
    </row>
    <row r="93" spans="1:11" ht="29.25" thickBot="1">
      <c r="A93" s="278"/>
      <c r="B93" s="296"/>
      <c r="C93" s="55"/>
      <c r="D93" s="55"/>
      <c r="E93" s="55"/>
      <c r="F93" s="55"/>
      <c r="G93" s="55"/>
      <c r="H93" s="57" t="s">
        <v>180</v>
      </c>
      <c r="I93" s="55"/>
      <c r="J93" s="55"/>
      <c r="K93" s="58"/>
    </row>
    <row r="94" spans="1:11" ht="15.75" thickBot="1">
      <c r="A94" s="276" t="s">
        <v>181</v>
      </c>
      <c r="B94" s="294" t="s">
        <v>168</v>
      </c>
      <c r="C94" s="51">
        <v>0</v>
      </c>
      <c r="D94" s="52">
        <v>7</v>
      </c>
      <c r="E94" s="53" t="s">
        <v>71</v>
      </c>
      <c r="F94" s="53">
        <v>0</v>
      </c>
      <c r="G94" s="54"/>
      <c r="H94" s="54"/>
      <c r="I94" s="54"/>
      <c r="J94" s="53">
        <v>0</v>
      </c>
      <c r="K94" s="44"/>
    </row>
    <row r="95" spans="1:11" ht="15.75" thickBot="1">
      <c r="A95" s="277"/>
      <c r="B95" s="295"/>
      <c r="C95" s="51">
        <v>1</v>
      </c>
      <c r="D95" s="52">
        <v>7</v>
      </c>
      <c r="E95" s="53" t="s">
        <v>71</v>
      </c>
      <c r="F95" s="53">
        <v>0</v>
      </c>
      <c r="G95" s="43"/>
      <c r="H95" s="43"/>
      <c r="I95" s="43"/>
      <c r="J95" s="53">
        <v>0</v>
      </c>
      <c r="K95" s="44"/>
    </row>
    <row r="96" spans="1:11" ht="15.75" thickBot="1">
      <c r="A96" s="277"/>
      <c r="B96" s="295"/>
      <c r="C96" s="51">
        <v>2</v>
      </c>
      <c r="D96" s="52">
        <v>7</v>
      </c>
      <c r="E96" s="53" t="s">
        <v>71</v>
      </c>
      <c r="F96" s="53">
        <v>0</v>
      </c>
      <c r="G96" s="43"/>
      <c r="H96" s="43"/>
      <c r="I96" s="43"/>
      <c r="J96" s="53">
        <v>0</v>
      </c>
      <c r="K96" s="44"/>
    </row>
    <row r="97" spans="1:11" ht="15.75" thickBot="1">
      <c r="A97" s="277"/>
      <c r="B97" s="295"/>
      <c r="C97" s="51">
        <v>3</v>
      </c>
      <c r="D97" s="52">
        <v>7</v>
      </c>
      <c r="E97" s="53" t="s">
        <v>71</v>
      </c>
      <c r="F97" s="53">
        <v>0</v>
      </c>
      <c r="G97" s="43"/>
      <c r="H97" s="43"/>
      <c r="I97" s="43"/>
      <c r="J97" s="53" t="s">
        <v>80</v>
      </c>
      <c r="K97" s="44"/>
    </row>
    <row r="98" spans="1:11" ht="15.75" thickBot="1">
      <c r="A98" s="277"/>
      <c r="B98" s="295"/>
      <c r="C98" s="51">
        <v>4</v>
      </c>
      <c r="D98" s="52">
        <v>7</v>
      </c>
      <c r="E98" s="53" t="s">
        <v>71</v>
      </c>
      <c r="F98" s="53">
        <v>0</v>
      </c>
      <c r="G98" s="43"/>
      <c r="H98" s="43"/>
      <c r="I98" s="43"/>
      <c r="J98" s="53" t="s">
        <v>182</v>
      </c>
      <c r="K98" s="44"/>
    </row>
    <row r="99" spans="1:11" ht="15.75" thickBot="1">
      <c r="A99" s="277"/>
      <c r="B99" s="295"/>
      <c r="C99" s="51">
        <v>5</v>
      </c>
      <c r="D99" s="52">
        <v>7</v>
      </c>
      <c r="E99" s="53" t="s">
        <v>71</v>
      </c>
      <c r="F99" s="53">
        <v>0</v>
      </c>
      <c r="G99" s="43"/>
      <c r="H99" s="43"/>
      <c r="I99" s="43"/>
      <c r="J99" s="53" t="s">
        <v>183</v>
      </c>
      <c r="K99" s="44"/>
    </row>
    <row r="100" spans="1:11" ht="15.75" thickBot="1">
      <c r="A100" s="278"/>
      <c r="B100" s="296"/>
      <c r="C100" s="55"/>
      <c r="D100" s="55"/>
      <c r="E100" s="55"/>
      <c r="F100" s="55"/>
      <c r="G100" s="55"/>
      <c r="H100" s="57" t="s">
        <v>184</v>
      </c>
      <c r="I100" s="55"/>
      <c r="J100" s="55"/>
      <c r="K100" s="58"/>
    </row>
    <row r="101" spans="1:11" ht="29.25" thickBot="1">
      <c r="A101" s="276" t="s">
        <v>185</v>
      </c>
      <c r="B101" s="291" t="s">
        <v>158</v>
      </c>
      <c r="C101" s="51">
        <v>0</v>
      </c>
      <c r="D101" s="52">
        <v>7</v>
      </c>
      <c r="E101" s="53" t="s">
        <v>71</v>
      </c>
      <c r="F101" s="53">
        <v>0</v>
      </c>
      <c r="G101" s="54"/>
      <c r="H101" s="54"/>
      <c r="I101" s="54"/>
      <c r="J101" s="53" t="s">
        <v>186</v>
      </c>
      <c r="K101" s="273" t="s">
        <v>187</v>
      </c>
    </row>
    <row r="102" spans="1:11" ht="29.25" thickBot="1">
      <c r="A102" s="277"/>
      <c r="B102" s="292"/>
      <c r="C102" s="51">
        <v>1</v>
      </c>
      <c r="D102" s="52">
        <v>7</v>
      </c>
      <c r="E102" s="53" t="s">
        <v>71</v>
      </c>
      <c r="F102" s="53">
        <v>0</v>
      </c>
      <c r="G102" s="43"/>
      <c r="H102" s="43"/>
      <c r="I102" s="43"/>
      <c r="J102" s="53" t="s">
        <v>188</v>
      </c>
      <c r="K102" s="274"/>
    </row>
    <row r="103" spans="1:11" ht="15.75" thickBot="1">
      <c r="A103" s="277"/>
      <c r="B103" s="292"/>
      <c r="C103" s="51">
        <v>2</v>
      </c>
      <c r="D103" s="52">
        <v>7</v>
      </c>
      <c r="E103" s="53" t="s">
        <v>71</v>
      </c>
      <c r="F103" s="53">
        <v>0</v>
      </c>
      <c r="G103" s="43"/>
      <c r="H103" s="43"/>
      <c r="I103" s="43"/>
      <c r="J103" s="53">
        <v>70</v>
      </c>
      <c r="K103" s="274"/>
    </row>
    <row r="104" spans="1:11" ht="15.75" thickBot="1">
      <c r="A104" s="277"/>
      <c r="B104" s="292"/>
      <c r="C104" s="51">
        <v>3</v>
      </c>
      <c r="D104" s="52">
        <v>7</v>
      </c>
      <c r="E104" s="53" t="s">
        <v>71</v>
      </c>
      <c r="F104" s="53">
        <v>0</v>
      </c>
      <c r="G104" s="43"/>
      <c r="H104" s="43"/>
      <c r="I104" s="43"/>
      <c r="J104" s="53" t="s">
        <v>189</v>
      </c>
      <c r="K104" s="274"/>
    </row>
    <row r="105" spans="1:11" ht="15.75" thickBot="1">
      <c r="A105" s="277"/>
      <c r="B105" s="292"/>
      <c r="C105" s="51">
        <v>4</v>
      </c>
      <c r="D105" s="52">
        <v>7</v>
      </c>
      <c r="E105" s="53" t="s">
        <v>71</v>
      </c>
      <c r="F105" s="53">
        <v>0</v>
      </c>
      <c r="G105" s="43"/>
      <c r="H105" s="43" t="s">
        <v>190</v>
      </c>
      <c r="I105" s="43"/>
      <c r="J105" s="53" t="s">
        <v>191</v>
      </c>
      <c r="K105" s="274"/>
    </row>
    <row r="106" spans="1:11" ht="15.75" thickBot="1">
      <c r="A106" s="277"/>
      <c r="B106" s="292"/>
      <c r="C106" s="51">
        <v>5</v>
      </c>
      <c r="D106" s="52">
        <v>7</v>
      </c>
      <c r="E106" s="53" t="s">
        <v>71</v>
      </c>
      <c r="F106" s="53">
        <v>0</v>
      </c>
      <c r="G106" s="43"/>
      <c r="H106" s="43"/>
      <c r="I106" s="43"/>
      <c r="J106" s="53">
        <v>0</v>
      </c>
      <c r="K106" s="274"/>
    </row>
    <row r="107" spans="1:11" ht="15.75" thickBot="1">
      <c r="A107" s="277"/>
      <c r="B107" s="292"/>
      <c r="C107" s="51">
        <v>6</v>
      </c>
      <c r="D107" s="52">
        <v>7</v>
      </c>
      <c r="E107" s="53" t="s">
        <v>71</v>
      </c>
      <c r="F107" s="53">
        <v>0</v>
      </c>
      <c r="G107" s="43"/>
      <c r="H107" s="43"/>
      <c r="I107" s="43"/>
      <c r="J107" s="53">
        <v>0</v>
      </c>
      <c r="K107" s="274"/>
    </row>
    <row r="108" spans="1:11" ht="15.75" thickBot="1">
      <c r="A108" s="277"/>
      <c r="B108" s="292"/>
      <c r="C108" s="51">
        <v>7</v>
      </c>
      <c r="D108" s="52">
        <v>7</v>
      </c>
      <c r="E108" s="53" t="s">
        <v>71</v>
      </c>
      <c r="F108" s="53">
        <v>0</v>
      </c>
      <c r="G108" s="43"/>
      <c r="H108" s="43"/>
      <c r="I108" s="43"/>
      <c r="J108" s="53" t="s">
        <v>192</v>
      </c>
      <c r="K108" s="274"/>
    </row>
    <row r="109" spans="1:11" ht="15.75" thickBot="1">
      <c r="A109" s="278"/>
      <c r="B109" s="293"/>
      <c r="C109" s="55"/>
      <c r="D109" s="55"/>
      <c r="E109" s="55"/>
      <c r="F109" s="55"/>
      <c r="G109" s="55"/>
      <c r="H109" s="55"/>
      <c r="I109" s="55"/>
      <c r="J109" s="55"/>
      <c r="K109" s="275"/>
    </row>
    <row r="110" spans="1:11" ht="15.75" thickBot="1">
      <c r="A110" s="276" t="s">
        <v>193</v>
      </c>
      <c r="B110" s="291" t="s">
        <v>158</v>
      </c>
      <c r="C110" s="51">
        <v>0</v>
      </c>
      <c r="D110" s="52">
        <v>7</v>
      </c>
      <c r="E110" s="53" t="s">
        <v>71</v>
      </c>
      <c r="F110" s="53">
        <v>0</v>
      </c>
      <c r="G110" s="54"/>
      <c r="H110" s="43" t="s">
        <v>194</v>
      </c>
      <c r="I110" s="54"/>
      <c r="J110" s="53" t="s">
        <v>195</v>
      </c>
      <c r="K110" s="273" t="s">
        <v>187</v>
      </c>
    </row>
    <row r="111" spans="1:11" ht="15.75" thickBot="1">
      <c r="A111" s="277"/>
      <c r="B111" s="292"/>
      <c r="C111" s="51">
        <v>1</v>
      </c>
      <c r="D111" s="52">
        <v>7</v>
      </c>
      <c r="E111" s="53" t="s">
        <v>71</v>
      </c>
      <c r="F111" s="53">
        <v>0</v>
      </c>
      <c r="G111" s="43"/>
      <c r="H111" s="43"/>
      <c r="I111" s="43"/>
      <c r="J111" s="53" t="s">
        <v>196</v>
      </c>
      <c r="K111" s="274"/>
    </row>
    <row r="112" spans="1:11" ht="15.75" thickBot="1">
      <c r="A112" s="277"/>
      <c r="B112" s="292"/>
      <c r="C112" s="51">
        <v>2</v>
      </c>
      <c r="D112" s="52">
        <v>7</v>
      </c>
      <c r="E112" s="53" t="s">
        <v>71</v>
      </c>
      <c r="F112" s="53">
        <v>0</v>
      </c>
      <c r="G112" s="43"/>
      <c r="H112" s="43" t="s">
        <v>197</v>
      </c>
      <c r="I112" s="43"/>
      <c r="J112" s="53" t="s">
        <v>198</v>
      </c>
      <c r="K112" s="274"/>
    </row>
    <row r="113" spans="1:11" ht="15.75" thickBot="1">
      <c r="A113" s="277"/>
      <c r="B113" s="292"/>
      <c r="C113" s="51">
        <v>3</v>
      </c>
      <c r="D113" s="52">
        <v>7</v>
      </c>
      <c r="E113" s="53" t="s">
        <v>71</v>
      </c>
      <c r="F113" s="53">
        <v>0</v>
      </c>
      <c r="G113" s="43"/>
      <c r="H113" s="43" t="s">
        <v>199</v>
      </c>
      <c r="I113" s="43"/>
      <c r="J113" s="53" t="s">
        <v>200</v>
      </c>
      <c r="K113" s="274"/>
    </row>
    <row r="114" spans="1:11" ht="15.75" thickBot="1">
      <c r="A114" s="277"/>
      <c r="B114" s="292"/>
      <c r="C114" s="283">
        <v>4</v>
      </c>
      <c r="D114" s="52">
        <v>7</v>
      </c>
      <c r="E114" s="53" t="s">
        <v>71</v>
      </c>
      <c r="F114" s="53">
        <v>2</v>
      </c>
      <c r="G114" s="43"/>
      <c r="H114" s="43" t="s">
        <v>201</v>
      </c>
      <c r="I114" s="43"/>
      <c r="J114" s="53" t="s">
        <v>202</v>
      </c>
      <c r="K114" s="274"/>
    </row>
    <row r="115" spans="1:11" ht="15.75" thickBot="1">
      <c r="A115" s="277"/>
      <c r="B115" s="292"/>
      <c r="C115" s="284"/>
      <c r="D115" s="52">
        <v>1</v>
      </c>
      <c r="E115" s="53" t="s">
        <v>71</v>
      </c>
      <c r="F115" s="53">
        <v>0</v>
      </c>
      <c r="G115" s="43"/>
      <c r="H115" s="43"/>
      <c r="I115" s="43"/>
      <c r="J115" s="54"/>
      <c r="K115" s="274"/>
    </row>
    <row r="116" spans="1:11" ht="15.75" thickBot="1">
      <c r="A116" s="277"/>
      <c r="B116" s="292"/>
      <c r="C116" s="51">
        <v>5</v>
      </c>
      <c r="D116" s="52">
        <v>7</v>
      </c>
      <c r="E116" s="53" t="s">
        <v>71</v>
      </c>
      <c r="F116" s="53">
        <v>0</v>
      </c>
      <c r="G116" s="43"/>
      <c r="H116" s="43"/>
      <c r="I116" s="43"/>
      <c r="J116" s="53">
        <v>0</v>
      </c>
      <c r="K116" s="274"/>
    </row>
    <row r="117" spans="1:11" ht="15.75" thickBot="1">
      <c r="A117" s="277"/>
      <c r="B117" s="292"/>
      <c r="C117" s="51">
        <v>6</v>
      </c>
      <c r="D117" s="52">
        <v>7</v>
      </c>
      <c r="E117" s="53" t="s">
        <v>71</v>
      </c>
      <c r="F117" s="53">
        <v>0</v>
      </c>
      <c r="G117" s="43"/>
      <c r="H117" s="43"/>
      <c r="I117" s="43"/>
      <c r="J117" s="53">
        <v>0</v>
      </c>
      <c r="K117" s="274"/>
    </row>
    <row r="118" spans="1:11" ht="15.75" thickBot="1">
      <c r="A118" s="277"/>
      <c r="B118" s="292"/>
      <c r="C118" s="51">
        <v>7</v>
      </c>
      <c r="D118" s="52">
        <v>7</v>
      </c>
      <c r="E118" s="53" t="s">
        <v>71</v>
      </c>
      <c r="F118" s="53">
        <v>0</v>
      </c>
      <c r="G118" s="43"/>
      <c r="H118" s="43" t="s">
        <v>203</v>
      </c>
      <c r="I118" s="43"/>
      <c r="J118" s="53" t="s">
        <v>204</v>
      </c>
      <c r="K118" s="274"/>
    </row>
    <row r="119" spans="1:11" ht="15.75" thickBot="1">
      <c r="A119" s="278"/>
      <c r="B119" s="293"/>
      <c r="C119" s="55"/>
      <c r="D119" s="55"/>
      <c r="E119" s="55"/>
      <c r="F119" s="55"/>
      <c r="G119" s="55"/>
      <c r="H119" s="55"/>
      <c r="I119" s="55"/>
      <c r="J119" s="55"/>
      <c r="K119" s="275"/>
    </row>
    <row r="120" spans="1:11" ht="15.75" thickBot="1">
      <c r="A120" s="276" t="s">
        <v>205</v>
      </c>
      <c r="B120" s="291" t="s">
        <v>158</v>
      </c>
      <c r="C120" s="51">
        <v>0</v>
      </c>
      <c r="D120" s="52">
        <v>7</v>
      </c>
      <c r="E120" s="53" t="s">
        <v>71</v>
      </c>
      <c r="F120" s="53">
        <v>0</v>
      </c>
      <c r="G120" s="54"/>
      <c r="H120" s="53" t="s">
        <v>206</v>
      </c>
      <c r="I120" s="54"/>
      <c r="J120" s="53" t="s">
        <v>207</v>
      </c>
      <c r="K120" s="273" t="s">
        <v>187</v>
      </c>
    </row>
    <row r="121" spans="1:11" ht="15.75" thickBot="1">
      <c r="A121" s="277"/>
      <c r="B121" s="292"/>
      <c r="C121" s="51">
        <v>1</v>
      </c>
      <c r="D121" s="52">
        <v>7</v>
      </c>
      <c r="E121" s="53" t="s">
        <v>71</v>
      </c>
      <c r="F121" s="53">
        <v>0</v>
      </c>
      <c r="G121" s="43"/>
      <c r="H121" s="43" t="s">
        <v>194</v>
      </c>
      <c r="I121" s="43"/>
      <c r="J121" s="53" t="s">
        <v>208</v>
      </c>
      <c r="K121" s="274"/>
    </row>
    <row r="122" spans="1:11" ht="15.75" thickBot="1">
      <c r="A122" s="277"/>
      <c r="B122" s="292"/>
      <c r="C122" s="51">
        <v>2</v>
      </c>
      <c r="D122" s="52">
        <v>7</v>
      </c>
      <c r="E122" s="53" t="s">
        <v>71</v>
      </c>
      <c r="F122" s="53">
        <v>0</v>
      </c>
      <c r="G122" s="43"/>
      <c r="H122" s="43"/>
      <c r="I122" s="43"/>
      <c r="J122" s="53" t="s">
        <v>209</v>
      </c>
      <c r="K122" s="274"/>
    </row>
    <row r="123" spans="1:11" ht="15.75" thickBot="1">
      <c r="A123" s="277"/>
      <c r="B123" s="292"/>
      <c r="C123" s="51">
        <v>3</v>
      </c>
      <c r="D123" s="52">
        <v>7</v>
      </c>
      <c r="E123" s="53" t="s">
        <v>71</v>
      </c>
      <c r="F123" s="53">
        <v>0</v>
      </c>
      <c r="G123" s="43"/>
      <c r="H123" s="43"/>
      <c r="I123" s="43"/>
      <c r="J123" s="53">
        <v>0</v>
      </c>
      <c r="K123" s="274"/>
    </row>
    <row r="124" spans="1:11" ht="15.75" thickBot="1">
      <c r="A124" s="277"/>
      <c r="B124" s="292"/>
      <c r="C124" s="51">
        <v>4</v>
      </c>
      <c r="D124" s="52">
        <v>7</v>
      </c>
      <c r="E124" s="53" t="s">
        <v>71</v>
      </c>
      <c r="F124" s="53">
        <v>0</v>
      </c>
      <c r="G124" s="43"/>
      <c r="H124" s="43"/>
      <c r="I124" s="43"/>
      <c r="J124" s="53">
        <v>0</v>
      </c>
      <c r="K124" s="274"/>
    </row>
    <row r="125" spans="1:11" ht="15.75" thickBot="1">
      <c r="A125" s="277"/>
      <c r="B125" s="292"/>
      <c r="C125" s="51">
        <v>5</v>
      </c>
      <c r="D125" s="52">
        <v>7</v>
      </c>
      <c r="E125" s="53" t="s">
        <v>71</v>
      </c>
      <c r="F125" s="53">
        <v>0</v>
      </c>
      <c r="G125" s="43"/>
      <c r="H125" s="43" t="s">
        <v>210</v>
      </c>
      <c r="I125" s="43"/>
      <c r="J125" s="53" t="s">
        <v>211</v>
      </c>
      <c r="K125" s="274"/>
    </row>
    <row r="126" spans="1:11" ht="15.75" thickBot="1">
      <c r="A126" s="277"/>
      <c r="B126" s="292"/>
      <c r="C126" s="51">
        <v>6</v>
      </c>
      <c r="D126" s="52">
        <v>7</v>
      </c>
      <c r="E126" s="53" t="s">
        <v>71</v>
      </c>
      <c r="F126" s="53">
        <v>0</v>
      </c>
      <c r="G126" s="43"/>
      <c r="H126" s="43" t="s">
        <v>212</v>
      </c>
      <c r="I126" s="43"/>
      <c r="J126" s="59" t="s">
        <v>213</v>
      </c>
      <c r="K126" s="274"/>
    </row>
    <row r="127" spans="1:11" ht="15.75" thickBot="1">
      <c r="A127" s="277"/>
      <c r="B127" s="292"/>
      <c r="C127" s="51">
        <v>7</v>
      </c>
      <c r="D127" s="52">
        <v>7</v>
      </c>
      <c r="E127" s="53" t="s">
        <v>71</v>
      </c>
      <c r="F127" s="53">
        <v>0</v>
      </c>
      <c r="G127" s="43"/>
      <c r="H127" s="43"/>
      <c r="I127" s="43"/>
      <c r="J127" s="53">
        <v>0</v>
      </c>
      <c r="K127" s="274"/>
    </row>
    <row r="128" spans="1:11" ht="15.75" thickBot="1">
      <c r="A128" s="278"/>
      <c r="B128" s="293"/>
      <c r="C128" s="55"/>
      <c r="D128" s="55"/>
      <c r="E128" s="55"/>
      <c r="F128" s="55"/>
      <c r="G128" s="55"/>
      <c r="H128" s="55"/>
      <c r="I128" s="55"/>
      <c r="J128" s="55"/>
      <c r="K128" s="275"/>
    </row>
    <row r="129" spans="1:11" ht="15.75" thickBot="1">
      <c r="A129" s="276" t="s">
        <v>214</v>
      </c>
      <c r="B129" s="291" t="s">
        <v>158</v>
      </c>
      <c r="C129" s="51">
        <v>0</v>
      </c>
      <c r="D129" s="52">
        <v>7</v>
      </c>
      <c r="E129" s="53" t="s">
        <v>71</v>
      </c>
      <c r="F129" s="53">
        <v>0</v>
      </c>
      <c r="G129" s="54"/>
      <c r="H129" s="53" t="s">
        <v>215</v>
      </c>
      <c r="I129" s="54"/>
      <c r="J129" s="53" t="s">
        <v>216</v>
      </c>
      <c r="K129" s="273" t="s">
        <v>187</v>
      </c>
    </row>
    <row r="130" spans="1:11" ht="15.75" thickBot="1">
      <c r="A130" s="277"/>
      <c r="B130" s="292"/>
      <c r="C130" s="51">
        <v>1</v>
      </c>
      <c r="D130" s="52">
        <v>7</v>
      </c>
      <c r="E130" s="53" t="s">
        <v>71</v>
      </c>
      <c r="F130" s="53">
        <v>5</v>
      </c>
      <c r="G130" s="43"/>
      <c r="H130" s="43"/>
      <c r="I130" s="43"/>
      <c r="J130" s="53" t="s">
        <v>204</v>
      </c>
      <c r="K130" s="274"/>
    </row>
    <row r="131" spans="1:11" ht="29.25" thickBot="1">
      <c r="A131" s="277"/>
      <c r="B131" s="292"/>
      <c r="C131" s="51">
        <v>2</v>
      </c>
      <c r="D131" s="52">
        <v>7</v>
      </c>
      <c r="E131" s="53" t="s">
        <v>71</v>
      </c>
      <c r="F131" s="53">
        <v>0</v>
      </c>
      <c r="G131" s="43"/>
      <c r="H131" s="43" t="s">
        <v>217</v>
      </c>
      <c r="I131" s="43"/>
      <c r="J131" s="53" t="s">
        <v>218</v>
      </c>
      <c r="K131" s="274"/>
    </row>
    <row r="132" spans="1:11" ht="15.75" thickBot="1">
      <c r="A132" s="277"/>
      <c r="B132" s="292"/>
      <c r="C132" s="51">
        <v>3</v>
      </c>
      <c r="D132" s="52">
        <v>7</v>
      </c>
      <c r="E132" s="53" t="s">
        <v>71</v>
      </c>
      <c r="F132" s="53">
        <v>6</v>
      </c>
      <c r="G132" s="43"/>
      <c r="H132" s="43"/>
      <c r="I132" s="43"/>
      <c r="J132" s="53">
        <v>0</v>
      </c>
      <c r="K132" s="274"/>
    </row>
    <row r="133" spans="1:11" ht="15.75" thickBot="1">
      <c r="A133" s="277"/>
      <c r="B133" s="292"/>
      <c r="C133" s="51">
        <v>4</v>
      </c>
      <c r="D133" s="52">
        <v>7</v>
      </c>
      <c r="E133" s="53" t="s">
        <v>71</v>
      </c>
      <c r="F133" s="53">
        <v>0</v>
      </c>
      <c r="G133" s="43"/>
      <c r="H133" s="43"/>
      <c r="I133" s="43"/>
      <c r="J133" s="53" t="s">
        <v>219</v>
      </c>
      <c r="K133" s="274"/>
    </row>
    <row r="134" spans="1:11" ht="15.75" thickBot="1">
      <c r="A134" s="277"/>
      <c r="B134" s="292"/>
      <c r="C134" s="51">
        <v>5</v>
      </c>
      <c r="D134" s="52">
        <v>7</v>
      </c>
      <c r="E134" s="53" t="s">
        <v>71</v>
      </c>
      <c r="F134" s="53">
        <v>6</v>
      </c>
      <c r="G134" s="43"/>
      <c r="H134" s="43" t="s">
        <v>220</v>
      </c>
      <c r="I134" s="43"/>
      <c r="J134" s="53" t="s">
        <v>221</v>
      </c>
      <c r="K134" s="274"/>
    </row>
    <row r="135" spans="1:11" ht="15.75" thickBot="1">
      <c r="A135" s="277"/>
      <c r="B135" s="292"/>
      <c r="C135" s="54"/>
      <c r="D135" s="52">
        <v>5</v>
      </c>
      <c r="E135" s="53" t="s">
        <v>71</v>
      </c>
      <c r="F135" s="53">
        <v>0</v>
      </c>
      <c r="G135" s="43"/>
      <c r="H135" s="43" t="s">
        <v>222</v>
      </c>
      <c r="I135" s="43"/>
      <c r="J135" s="43" t="s">
        <v>223</v>
      </c>
      <c r="K135" s="274"/>
    </row>
    <row r="136" spans="1:11" ht="15.75" thickBot="1">
      <c r="A136" s="277"/>
      <c r="B136" s="292"/>
      <c r="C136" s="51">
        <v>6</v>
      </c>
      <c r="D136" s="52">
        <v>7</v>
      </c>
      <c r="E136" s="53" t="s">
        <v>71</v>
      </c>
      <c r="F136" s="53">
        <v>0</v>
      </c>
      <c r="G136" s="43"/>
      <c r="H136" s="60" t="s">
        <v>224</v>
      </c>
      <c r="I136" s="43"/>
      <c r="J136" s="59" t="s">
        <v>225</v>
      </c>
      <c r="K136" s="274"/>
    </row>
    <row r="137" spans="1:11" ht="29.25" thickBot="1">
      <c r="A137" s="277"/>
      <c r="B137" s="292"/>
      <c r="C137" s="51">
        <v>7</v>
      </c>
      <c r="D137" s="52">
        <v>7</v>
      </c>
      <c r="E137" s="53" t="s">
        <v>71</v>
      </c>
      <c r="F137" s="53">
        <v>0</v>
      </c>
      <c r="G137" s="43"/>
      <c r="H137" s="53" t="s">
        <v>226</v>
      </c>
      <c r="I137" s="51" t="s">
        <v>227</v>
      </c>
      <c r="J137" s="53" t="s">
        <v>228</v>
      </c>
      <c r="K137" s="274"/>
    </row>
    <row r="138" spans="1:11" ht="43.5" thickBot="1">
      <c r="A138" s="278"/>
      <c r="B138" s="293"/>
      <c r="C138" s="55"/>
      <c r="D138" s="55"/>
      <c r="E138" s="55"/>
      <c r="F138" s="55"/>
      <c r="G138" s="55"/>
      <c r="H138" s="57" t="s">
        <v>229</v>
      </c>
      <c r="I138" s="55"/>
      <c r="J138" s="57" t="s">
        <v>230</v>
      </c>
      <c r="K138" s="275"/>
    </row>
    <row r="139" spans="1:11" ht="15.75" thickBot="1">
      <c r="A139" s="310" t="s">
        <v>231</v>
      </c>
      <c r="B139" s="291" t="s">
        <v>158</v>
      </c>
      <c r="C139" s="51">
        <v>0</v>
      </c>
      <c r="D139" s="52">
        <v>7</v>
      </c>
      <c r="E139" s="53" t="s">
        <v>71</v>
      </c>
      <c r="F139" s="53">
        <v>0</v>
      </c>
      <c r="G139" s="54"/>
      <c r="H139" s="54"/>
      <c r="I139" s="54"/>
      <c r="J139" s="53" t="s">
        <v>232</v>
      </c>
      <c r="K139" s="273" t="s">
        <v>233</v>
      </c>
    </row>
    <row r="140" spans="1:11" ht="15.75" thickBot="1">
      <c r="A140" s="311"/>
      <c r="B140" s="292"/>
      <c r="C140" s="51">
        <v>1</v>
      </c>
      <c r="D140" s="52">
        <v>7</v>
      </c>
      <c r="E140" s="53" t="s">
        <v>71</v>
      </c>
      <c r="F140" s="53">
        <v>0</v>
      </c>
      <c r="G140" s="43"/>
      <c r="H140" s="43" t="s">
        <v>234</v>
      </c>
      <c r="I140" s="54"/>
      <c r="J140" s="53" t="s">
        <v>235</v>
      </c>
      <c r="K140" s="274"/>
    </row>
    <row r="141" spans="1:11" ht="15.75" thickBot="1">
      <c r="A141" s="311"/>
      <c r="B141" s="292"/>
      <c r="C141" s="51">
        <v>2</v>
      </c>
      <c r="D141" s="52">
        <v>7</v>
      </c>
      <c r="E141" s="53" t="s">
        <v>71</v>
      </c>
      <c r="F141" s="53">
        <v>0</v>
      </c>
      <c r="G141" s="43"/>
      <c r="H141" s="43" t="s">
        <v>236</v>
      </c>
      <c r="I141" s="54"/>
      <c r="J141" s="53" t="s">
        <v>237</v>
      </c>
      <c r="K141" s="274"/>
    </row>
    <row r="142" spans="1:11" ht="15.75" thickBot="1">
      <c r="A142" s="311"/>
      <c r="B142" s="292"/>
      <c r="C142" s="51">
        <v>3</v>
      </c>
      <c r="D142" s="52">
        <v>7</v>
      </c>
      <c r="E142" s="53" t="s">
        <v>71</v>
      </c>
      <c r="F142" s="53">
        <v>0</v>
      </c>
      <c r="G142" s="43"/>
      <c r="H142" s="43"/>
      <c r="I142" s="43"/>
      <c r="J142" s="53" t="s">
        <v>232</v>
      </c>
      <c r="K142" s="274"/>
    </row>
    <row r="143" spans="1:11" ht="15.75" thickBot="1">
      <c r="A143" s="311"/>
      <c r="B143" s="292"/>
      <c r="C143" s="51">
        <v>4</v>
      </c>
      <c r="D143" s="52">
        <v>7</v>
      </c>
      <c r="E143" s="53" t="s">
        <v>71</v>
      </c>
      <c r="F143" s="53">
        <v>0</v>
      </c>
      <c r="G143" s="43"/>
      <c r="H143" s="43" t="s">
        <v>238</v>
      </c>
      <c r="I143" s="54"/>
      <c r="J143" s="53" t="s">
        <v>239</v>
      </c>
      <c r="K143" s="274"/>
    </row>
    <row r="144" spans="1:11" ht="15.75" thickBot="1">
      <c r="A144" s="311"/>
      <c r="B144" s="292"/>
      <c r="C144" s="51">
        <v>5</v>
      </c>
      <c r="D144" s="52">
        <v>7</v>
      </c>
      <c r="E144" s="53" t="s">
        <v>71</v>
      </c>
      <c r="F144" s="53">
        <v>0</v>
      </c>
      <c r="G144" s="43"/>
      <c r="H144" s="43" t="s">
        <v>240</v>
      </c>
      <c r="I144" s="54"/>
      <c r="J144" s="53" t="s">
        <v>241</v>
      </c>
      <c r="K144" s="274"/>
    </row>
    <row r="145" spans="1:11" ht="15.75" thickBot="1">
      <c r="A145" s="311"/>
      <c r="B145" s="292"/>
      <c r="C145" s="51">
        <v>6</v>
      </c>
      <c r="D145" s="52">
        <v>7</v>
      </c>
      <c r="E145" s="53" t="s">
        <v>71</v>
      </c>
      <c r="F145" s="53">
        <v>0</v>
      </c>
      <c r="G145" s="43"/>
      <c r="H145" s="43"/>
      <c r="I145" s="43"/>
      <c r="J145" s="53" t="s">
        <v>242</v>
      </c>
      <c r="K145" s="274"/>
    </row>
    <row r="146" spans="1:11" ht="15.75" thickBot="1">
      <c r="A146" s="311"/>
      <c r="B146" s="292"/>
      <c r="C146" s="51">
        <v>7</v>
      </c>
      <c r="D146" s="52">
        <v>7</v>
      </c>
      <c r="E146" s="53" t="s">
        <v>71</v>
      </c>
      <c r="F146" s="53">
        <v>0</v>
      </c>
      <c r="G146" s="43"/>
      <c r="H146" s="43"/>
      <c r="I146" s="43"/>
      <c r="J146" s="53" t="s">
        <v>243</v>
      </c>
      <c r="K146" s="274"/>
    </row>
    <row r="147" spans="1:11" ht="23.25" thickBot="1">
      <c r="A147" s="312"/>
      <c r="B147" s="293"/>
      <c r="C147" s="55"/>
      <c r="D147" s="55"/>
      <c r="E147" s="55"/>
      <c r="F147" s="55"/>
      <c r="G147" s="55"/>
      <c r="H147" s="61" t="s">
        <v>244</v>
      </c>
      <c r="I147" s="55"/>
      <c r="J147" s="57" t="s">
        <v>245</v>
      </c>
      <c r="K147" s="275"/>
    </row>
    <row r="148" spans="1:11" ht="15.75" thickBot="1">
      <c r="A148" s="304" t="s">
        <v>246</v>
      </c>
      <c r="B148" s="307" t="s">
        <v>158</v>
      </c>
      <c r="C148" s="51">
        <v>0</v>
      </c>
      <c r="D148" s="52">
        <v>7</v>
      </c>
      <c r="E148" s="53" t="s">
        <v>71</v>
      </c>
      <c r="F148" s="53">
        <v>0</v>
      </c>
      <c r="G148" s="54"/>
      <c r="H148" s="290" t="s">
        <v>247</v>
      </c>
      <c r="I148" s="54"/>
      <c r="J148" s="53" t="s">
        <v>248</v>
      </c>
      <c r="K148" s="273" t="s">
        <v>249</v>
      </c>
    </row>
    <row r="149" spans="1:11" ht="15.75" thickBot="1">
      <c r="A149" s="305"/>
      <c r="B149" s="308"/>
      <c r="C149" s="283">
        <v>1</v>
      </c>
      <c r="D149" s="52">
        <v>7</v>
      </c>
      <c r="E149" s="53" t="s">
        <v>71</v>
      </c>
      <c r="F149" s="53">
        <v>6</v>
      </c>
      <c r="G149" s="43"/>
      <c r="H149" s="286"/>
      <c r="I149" s="43"/>
      <c r="J149" s="285" t="s">
        <v>250</v>
      </c>
      <c r="K149" s="274"/>
    </row>
    <row r="150" spans="1:11" ht="15.75" thickBot="1">
      <c r="A150" s="305"/>
      <c r="B150" s="308"/>
      <c r="C150" s="284"/>
      <c r="D150" s="52">
        <v>5</v>
      </c>
      <c r="E150" s="53" t="s">
        <v>71</v>
      </c>
      <c r="F150" s="53">
        <v>0</v>
      </c>
      <c r="G150" s="43"/>
      <c r="H150" s="43"/>
      <c r="I150" s="43"/>
      <c r="J150" s="286"/>
      <c r="K150" s="274"/>
    </row>
    <row r="151" spans="1:11" ht="15.75" thickBot="1">
      <c r="A151" s="305"/>
      <c r="B151" s="308"/>
      <c r="C151" s="51">
        <v>2</v>
      </c>
      <c r="D151" s="52">
        <v>7</v>
      </c>
      <c r="E151" s="53" t="s">
        <v>71</v>
      </c>
      <c r="F151" s="53">
        <v>0</v>
      </c>
      <c r="G151" s="43"/>
      <c r="H151" s="43"/>
      <c r="I151" s="43"/>
      <c r="J151" s="53" t="s">
        <v>77</v>
      </c>
      <c r="K151" s="274"/>
    </row>
    <row r="152" spans="1:11" ht="15.75" thickBot="1">
      <c r="A152" s="305"/>
      <c r="B152" s="308"/>
      <c r="C152" s="51">
        <v>3</v>
      </c>
      <c r="D152" s="52">
        <v>7</v>
      </c>
      <c r="E152" s="53" t="s">
        <v>71</v>
      </c>
      <c r="F152" s="53">
        <v>0</v>
      </c>
      <c r="G152" s="43"/>
      <c r="H152" s="43"/>
      <c r="I152" s="43"/>
      <c r="J152" s="53">
        <v>0</v>
      </c>
      <c r="K152" s="274"/>
    </row>
    <row r="153" spans="1:11" ht="15.75" thickBot="1">
      <c r="A153" s="305"/>
      <c r="B153" s="308"/>
      <c r="C153" s="51">
        <v>4</v>
      </c>
      <c r="D153" s="52">
        <v>7</v>
      </c>
      <c r="E153" s="53" t="s">
        <v>71</v>
      </c>
      <c r="F153" s="53">
        <v>0</v>
      </c>
      <c r="G153" s="43"/>
      <c r="H153" s="43"/>
      <c r="I153" s="43"/>
      <c r="J153" s="53" t="s">
        <v>251</v>
      </c>
      <c r="K153" s="274"/>
    </row>
    <row r="154" spans="1:11" ht="15.75" thickBot="1">
      <c r="A154" s="305"/>
      <c r="B154" s="308"/>
      <c r="C154" s="51">
        <v>5</v>
      </c>
      <c r="D154" s="52">
        <v>7</v>
      </c>
      <c r="E154" s="53" t="s">
        <v>71</v>
      </c>
      <c r="F154" s="53">
        <v>0</v>
      </c>
      <c r="G154" s="43"/>
      <c r="H154" s="43"/>
      <c r="I154" s="43"/>
      <c r="J154" s="53" t="s">
        <v>250</v>
      </c>
      <c r="K154" s="274"/>
    </row>
    <row r="155" spans="1:11" ht="15.75" thickBot="1">
      <c r="A155" s="305"/>
      <c r="B155" s="308"/>
      <c r="C155" s="51">
        <v>6</v>
      </c>
      <c r="D155" s="52">
        <v>7</v>
      </c>
      <c r="E155" s="53" t="s">
        <v>71</v>
      </c>
      <c r="F155" s="53">
        <v>0</v>
      </c>
      <c r="G155" s="43"/>
      <c r="H155" s="43"/>
      <c r="I155" s="43"/>
      <c r="J155" s="53" t="s">
        <v>252</v>
      </c>
      <c r="K155" s="274"/>
    </row>
    <row r="156" spans="1:11" ht="15.75" thickBot="1">
      <c r="A156" s="305"/>
      <c r="B156" s="308"/>
      <c r="C156" s="51">
        <v>7</v>
      </c>
      <c r="D156" s="52">
        <v>7</v>
      </c>
      <c r="E156" s="53" t="s">
        <v>71</v>
      </c>
      <c r="F156" s="53">
        <v>0</v>
      </c>
      <c r="G156" s="43"/>
      <c r="H156" s="43" t="s">
        <v>111</v>
      </c>
      <c r="I156" s="43"/>
      <c r="J156" s="53" t="s">
        <v>96</v>
      </c>
      <c r="K156" s="274"/>
    </row>
    <row r="157" spans="1:11" ht="15.75" thickBot="1">
      <c r="A157" s="306"/>
      <c r="B157" s="309"/>
      <c r="C157" s="55"/>
      <c r="D157" s="55"/>
      <c r="E157" s="55"/>
      <c r="F157" s="55"/>
      <c r="G157" s="55"/>
      <c r="H157" s="55"/>
      <c r="I157" s="55"/>
      <c r="J157" s="55"/>
      <c r="K157" s="275"/>
    </row>
    <row r="158" spans="1:11" ht="15.75" thickBot="1">
      <c r="A158" s="304" t="s">
        <v>253</v>
      </c>
      <c r="B158" s="318" t="s">
        <v>158</v>
      </c>
      <c r="C158" s="51">
        <v>0</v>
      </c>
      <c r="D158" s="52">
        <v>7</v>
      </c>
      <c r="E158" s="53" t="s">
        <v>71</v>
      </c>
      <c r="F158" s="53">
        <v>0</v>
      </c>
      <c r="G158" s="54"/>
      <c r="H158" s="53" t="s">
        <v>254</v>
      </c>
      <c r="I158" s="54"/>
      <c r="J158" s="53" t="s">
        <v>255</v>
      </c>
      <c r="K158" s="273" t="s">
        <v>256</v>
      </c>
    </row>
    <row r="159" spans="1:11" ht="15.75" thickBot="1">
      <c r="A159" s="306"/>
      <c r="B159" s="319"/>
      <c r="C159" s="55"/>
      <c r="D159" s="55"/>
      <c r="E159" s="55"/>
      <c r="F159" s="55"/>
      <c r="G159" s="55"/>
      <c r="H159" s="57" t="s">
        <v>257</v>
      </c>
      <c r="I159" s="55"/>
      <c r="J159" s="55"/>
      <c r="K159" s="275"/>
    </row>
    <row r="160" spans="1:11" ht="15.75" thickBot="1">
      <c r="A160" s="276" t="s">
        <v>258</v>
      </c>
      <c r="B160" s="313" t="s">
        <v>259</v>
      </c>
      <c r="C160" s="51">
        <v>0</v>
      </c>
      <c r="D160" s="52">
        <v>7</v>
      </c>
      <c r="E160" s="53" t="s">
        <v>71</v>
      </c>
      <c r="F160" s="53">
        <v>0</v>
      </c>
      <c r="G160" s="54"/>
      <c r="H160" s="53" t="s">
        <v>260</v>
      </c>
      <c r="I160" s="54"/>
      <c r="J160" s="54"/>
      <c r="K160" s="273" t="s">
        <v>261</v>
      </c>
    </row>
    <row r="161" spans="1:11" ht="15.75" thickBot="1">
      <c r="A161" s="277"/>
      <c r="B161" s="314"/>
      <c r="C161" s="51">
        <v>1</v>
      </c>
      <c r="D161" s="52">
        <v>7</v>
      </c>
      <c r="E161" s="53" t="s">
        <v>71</v>
      </c>
      <c r="F161" s="53">
        <v>0</v>
      </c>
      <c r="G161" s="43"/>
      <c r="H161" s="43" t="s">
        <v>260</v>
      </c>
      <c r="I161" s="43"/>
      <c r="J161" s="54"/>
      <c r="K161" s="274"/>
    </row>
    <row r="162" spans="1:11" ht="15.75" thickBot="1">
      <c r="A162" s="277"/>
      <c r="B162" s="314"/>
      <c r="C162" s="51">
        <v>2</v>
      </c>
      <c r="D162" s="52">
        <v>7</v>
      </c>
      <c r="E162" s="53" t="s">
        <v>71</v>
      </c>
      <c r="F162" s="53">
        <v>0</v>
      </c>
      <c r="G162" s="43"/>
      <c r="H162" s="43"/>
      <c r="I162" s="43"/>
      <c r="J162" s="54"/>
      <c r="K162" s="274"/>
    </row>
    <row r="163" spans="1:11" ht="15.75" thickBot="1">
      <c r="A163" s="277"/>
      <c r="B163" s="314"/>
      <c r="C163" s="51">
        <v>3</v>
      </c>
      <c r="D163" s="52">
        <v>7</v>
      </c>
      <c r="E163" s="53" t="s">
        <v>71</v>
      </c>
      <c r="F163" s="53">
        <v>0</v>
      </c>
      <c r="G163" s="43"/>
      <c r="H163" s="43"/>
      <c r="I163" s="43"/>
      <c r="J163" s="53" t="s">
        <v>262</v>
      </c>
      <c r="K163" s="274"/>
    </row>
    <row r="164" spans="1:11" ht="15.75" thickBot="1">
      <c r="A164" s="277"/>
      <c r="B164" s="314"/>
      <c r="C164" s="51">
        <v>4</v>
      </c>
      <c r="D164" s="52">
        <v>7</v>
      </c>
      <c r="E164" s="53" t="s">
        <v>71</v>
      </c>
      <c r="F164" s="53">
        <v>0</v>
      </c>
      <c r="G164" s="43"/>
      <c r="H164" s="43"/>
      <c r="I164" s="43"/>
      <c r="J164" s="54"/>
      <c r="K164" s="274"/>
    </row>
    <row r="165" spans="1:11" ht="15.75" thickBot="1">
      <c r="A165" s="277"/>
      <c r="B165" s="314"/>
      <c r="C165" s="51">
        <v>5</v>
      </c>
      <c r="D165" s="52">
        <v>7</v>
      </c>
      <c r="E165" s="53" t="s">
        <v>71</v>
      </c>
      <c r="F165" s="53">
        <v>0</v>
      </c>
      <c r="G165" s="43"/>
      <c r="H165" s="43"/>
      <c r="I165" s="43"/>
      <c r="J165" s="54"/>
      <c r="K165" s="274"/>
    </row>
    <row r="166" spans="1:11" ht="15.75" thickBot="1">
      <c r="A166" s="277"/>
      <c r="B166" s="314"/>
      <c r="C166" s="51">
        <v>6</v>
      </c>
      <c r="D166" s="52">
        <v>7</v>
      </c>
      <c r="E166" s="53" t="s">
        <v>71</v>
      </c>
      <c r="F166" s="53">
        <v>0</v>
      </c>
      <c r="G166" s="43"/>
      <c r="H166" s="43"/>
      <c r="I166" s="43"/>
      <c r="J166" s="54"/>
      <c r="K166" s="274"/>
    </row>
    <row r="167" spans="1:11" ht="15.75" thickBot="1">
      <c r="A167" s="277"/>
      <c r="B167" s="314"/>
      <c r="C167" s="51">
        <v>7</v>
      </c>
      <c r="D167" s="52">
        <v>7</v>
      </c>
      <c r="E167" s="53" t="s">
        <v>71</v>
      </c>
      <c r="F167" s="53">
        <v>0</v>
      </c>
      <c r="G167" s="43"/>
      <c r="H167" s="43"/>
      <c r="I167" s="43"/>
      <c r="J167" s="54"/>
      <c r="K167" s="274"/>
    </row>
    <row r="168" spans="1:11" ht="15.75" thickBot="1">
      <c r="A168" s="278"/>
      <c r="B168" s="315"/>
      <c r="C168" s="55"/>
      <c r="D168" s="55"/>
      <c r="E168" s="55"/>
      <c r="F168" s="55"/>
      <c r="G168" s="55"/>
      <c r="H168" s="55"/>
      <c r="I168" s="55"/>
      <c r="J168" s="57" t="s">
        <v>263</v>
      </c>
      <c r="K168" s="275"/>
    </row>
    <row r="169" spans="1:11" ht="15.75" thickBot="1">
      <c r="A169" s="276" t="s">
        <v>264</v>
      </c>
      <c r="B169" s="313" t="s">
        <v>259</v>
      </c>
      <c r="C169" s="289">
        <v>0</v>
      </c>
      <c r="D169" s="52">
        <v>7</v>
      </c>
      <c r="E169" s="53" t="s">
        <v>71</v>
      </c>
      <c r="F169" s="53">
        <v>3</v>
      </c>
      <c r="G169" s="62" t="s">
        <v>265</v>
      </c>
      <c r="H169" s="53" t="s">
        <v>266</v>
      </c>
      <c r="I169" s="51" t="s">
        <v>119</v>
      </c>
      <c r="J169" s="290" t="s">
        <v>267</v>
      </c>
      <c r="K169" s="273" t="s">
        <v>268</v>
      </c>
    </row>
    <row r="170" spans="1:11" ht="15.75" thickBot="1">
      <c r="A170" s="277"/>
      <c r="B170" s="314"/>
      <c r="C170" s="284"/>
      <c r="D170" s="52">
        <v>2</v>
      </c>
      <c r="E170" s="53" t="s">
        <v>71</v>
      </c>
      <c r="F170" s="53">
        <v>0</v>
      </c>
      <c r="G170" s="316" t="s">
        <v>269</v>
      </c>
      <c r="H170" s="285" t="s">
        <v>270</v>
      </c>
      <c r="I170" s="283" t="s">
        <v>89</v>
      </c>
      <c r="J170" s="286"/>
      <c r="K170" s="274"/>
    </row>
    <row r="171" spans="1:11" ht="15.75" thickBot="1">
      <c r="A171" s="277"/>
      <c r="B171" s="314"/>
      <c r="C171" s="51">
        <v>1</v>
      </c>
      <c r="D171" s="52">
        <v>7</v>
      </c>
      <c r="E171" s="53" t="s">
        <v>71</v>
      </c>
      <c r="F171" s="53">
        <v>0</v>
      </c>
      <c r="G171" s="317"/>
      <c r="H171" s="286"/>
      <c r="I171" s="284"/>
      <c r="J171" s="53" t="s">
        <v>271</v>
      </c>
      <c r="K171" s="274"/>
    </row>
    <row r="172" spans="1:11" ht="15.75" thickBot="1">
      <c r="A172" s="277"/>
      <c r="B172" s="314"/>
      <c r="C172" s="51">
        <v>2</v>
      </c>
      <c r="D172" s="52">
        <v>7</v>
      </c>
      <c r="E172" s="53" t="s">
        <v>71</v>
      </c>
      <c r="F172" s="53">
        <v>0</v>
      </c>
      <c r="G172" s="43"/>
      <c r="H172" s="43"/>
      <c r="I172" s="43"/>
      <c r="J172" s="53" t="s">
        <v>272</v>
      </c>
      <c r="K172" s="274"/>
    </row>
    <row r="173" spans="1:11" ht="15.75" thickBot="1">
      <c r="A173" s="277"/>
      <c r="B173" s="314"/>
      <c r="C173" s="51">
        <v>3</v>
      </c>
      <c r="D173" s="52">
        <v>7</v>
      </c>
      <c r="E173" s="53" t="s">
        <v>71</v>
      </c>
      <c r="F173" s="53">
        <v>0</v>
      </c>
      <c r="G173" s="43"/>
      <c r="H173" s="43" t="s">
        <v>273</v>
      </c>
      <c r="I173" s="43"/>
      <c r="J173" s="53" t="s">
        <v>274</v>
      </c>
      <c r="K173" s="274"/>
    </row>
    <row r="174" spans="1:11" ht="15.75" thickBot="1">
      <c r="A174" s="277"/>
      <c r="B174" s="314"/>
      <c r="C174" s="51">
        <v>4</v>
      </c>
      <c r="D174" s="52">
        <v>7</v>
      </c>
      <c r="E174" s="53" t="s">
        <v>71</v>
      </c>
      <c r="F174" s="53">
        <v>0</v>
      </c>
      <c r="G174" s="43"/>
      <c r="H174" s="43"/>
      <c r="I174" s="43"/>
      <c r="J174" s="53">
        <v>28</v>
      </c>
      <c r="K174" s="274"/>
    </row>
    <row r="175" spans="1:11" ht="15.75" thickBot="1">
      <c r="A175" s="278"/>
      <c r="B175" s="315"/>
      <c r="C175" s="55"/>
      <c r="D175" s="55"/>
      <c r="E175" s="55"/>
      <c r="F175" s="55"/>
      <c r="G175" s="55"/>
      <c r="H175" s="55"/>
      <c r="I175" s="55"/>
      <c r="J175" s="55"/>
      <c r="K175" s="275"/>
    </row>
    <row r="176" spans="1:11" ht="15.75" thickBot="1">
      <c r="A176" s="276" t="s">
        <v>275</v>
      </c>
      <c r="B176" s="330" t="s">
        <v>276</v>
      </c>
      <c r="C176" s="51">
        <v>0</v>
      </c>
      <c r="D176" s="52">
        <v>7</v>
      </c>
      <c r="E176" s="53" t="s">
        <v>71</v>
      </c>
      <c r="F176" s="53">
        <v>0</v>
      </c>
      <c r="G176" s="289" t="s">
        <v>277</v>
      </c>
      <c r="H176" s="290" t="s">
        <v>278</v>
      </c>
      <c r="I176" s="289" t="s">
        <v>119</v>
      </c>
      <c r="J176" s="290" t="s">
        <v>279</v>
      </c>
      <c r="K176" s="327"/>
    </row>
    <row r="177" spans="1:11" ht="15.75" thickBot="1">
      <c r="A177" s="277"/>
      <c r="B177" s="331"/>
      <c r="C177" s="283">
        <v>1</v>
      </c>
      <c r="D177" s="52">
        <v>7</v>
      </c>
      <c r="E177" s="53" t="s">
        <v>71</v>
      </c>
      <c r="F177" s="53">
        <v>6</v>
      </c>
      <c r="G177" s="284"/>
      <c r="H177" s="286"/>
      <c r="I177" s="284"/>
      <c r="J177" s="286"/>
      <c r="K177" s="328"/>
    </row>
    <row r="178" spans="1:11" ht="15.75" thickBot="1">
      <c r="A178" s="277"/>
      <c r="B178" s="331"/>
      <c r="C178" s="284"/>
      <c r="D178" s="52">
        <v>5</v>
      </c>
      <c r="E178" s="53" t="s">
        <v>71</v>
      </c>
      <c r="F178" s="53">
        <v>0</v>
      </c>
      <c r="G178" s="43"/>
      <c r="H178" s="43"/>
      <c r="I178" s="43"/>
      <c r="J178" s="53" t="s">
        <v>280</v>
      </c>
      <c r="K178" s="328"/>
    </row>
    <row r="179" spans="1:11" ht="15.75" thickBot="1">
      <c r="A179" s="277"/>
      <c r="B179" s="331"/>
      <c r="C179" s="51">
        <v>2</v>
      </c>
      <c r="D179" s="52">
        <v>7</v>
      </c>
      <c r="E179" s="53" t="s">
        <v>71</v>
      </c>
      <c r="F179" s="53">
        <v>0</v>
      </c>
      <c r="G179" s="43"/>
      <c r="H179" s="43"/>
      <c r="I179" s="43"/>
      <c r="J179" s="53" t="s">
        <v>281</v>
      </c>
      <c r="K179" s="328"/>
    </row>
    <row r="180" spans="1:11" ht="15.75" thickBot="1">
      <c r="A180" s="277"/>
      <c r="B180" s="331"/>
      <c r="C180" s="51">
        <v>3</v>
      </c>
      <c r="D180" s="52">
        <v>7</v>
      </c>
      <c r="E180" s="53" t="s">
        <v>71</v>
      </c>
      <c r="F180" s="53">
        <v>0</v>
      </c>
      <c r="G180" s="43"/>
      <c r="H180" s="43" t="s">
        <v>282</v>
      </c>
      <c r="I180" s="43"/>
      <c r="J180" s="53" t="s">
        <v>192</v>
      </c>
      <c r="K180" s="328"/>
    </row>
    <row r="181" spans="1:11" ht="15.75" thickBot="1">
      <c r="A181" s="277"/>
      <c r="B181" s="331"/>
      <c r="C181" s="51">
        <v>4</v>
      </c>
      <c r="D181" s="52">
        <v>7</v>
      </c>
      <c r="E181" s="53" t="s">
        <v>71</v>
      </c>
      <c r="F181" s="53">
        <v>0</v>
      </c>
      <c r="G181" s="43"/>
      <c r="H181" s="43"/>
      <c r="I181" s="43"/>
      <c r="J181" s="54"/>
      <c r="K181" s="328"/>
    </row>
    <row r="182" spans="1:11" ht="15.75" thickBot="1">
      <c r="A182" s="277"/>
      <c r="B182" s="331"/>
      <c r="C182" s="51">
        <v>5</v>
      </c>
      <c r="D182" s="52">
        <v>7</v>
      </c>
      <c r="E182" s="53" t="s">
        <v>71</v>
      </c>
      <c r="F182" s="53">
        <v>0</v>
      </c>
      <c r="G182" s="43"/>
      <c r="H182" s="43" t="s">
        <v>283</v>
      </c>
      <c r="I182" s="43"/>
      <c r="J182" s="53" t="s">
        <v>284</v>
      </c>
      <c r="K182" s="328"/>
    </row>
    <row r="183" spans="1:11" ht="15.75" thickBot="1">
      <c r="A183" s="277"/>
      <c r="B183" s="331"/>
      <c r="C183" s="51">
        <v>6</v>
      </c>
      <c r="D183" s="52">
        <v>7</v>
      </c>
      <c r="E183" s="53" t="s">
        <v>71</v>
      </c>
      <c r="F183" s="53">
        <v>0</v>
      </c>
      <c r="G183" s="43"/>
      <c r="H183" s="43"/>
      <c r="I183" s="43"/>
      <c r="J183" s="53" t="s">
        <v>285</v>
      </c>
      <c r="K183" s="328"/>
    </row>
    <row r="184" spans="1:11" ht="15.75" thickBot="1">
      <c r="A184" s="277"/>
      <c r="B184" s="331"/>
      <c r="C184" s="51">
        <v>7</v>
      </c>
      <c r="D184" s="52">
        <v>7</v>
      </c>
      <c r="E184" s="53" t="s">
        <v>71</v>
      </c>
      <c r="F184" s="53">
        <v>0</v>
      </c>
      <c r="G184" s="43"/>
      <c r="H184" s="43"/>
      <c r="I184" s="43"/>
      <c r="J184" s="53" t="s">
        <v>286</v>
      </c>
      <c r="K184" s="328"/>
    </row>
    <row r="185" spans="1:11" ht="15.75" thickBot="1">
      <c r="A185" s="278"/>
      <c r="B185" s="332"/>
      <c r="C185" s="55"/>
      <c r="D185" s="55"/>
      <c r="E185" s="55"/>
      <c r="F185" s="55"/>
      <c r="G185" s="55"/>
      <c r="H185" s="55"/>
      <c r="I185" s="55"/>
      <c r="J185" s="55"/>
      <c r="K185" s="329"/>
    </row>
    <row r="186" spans="1:11" ht="15.75" thickBot="1">
      <c r="A186" s="310"/>
      <c r="B186" s="291" t="s">
        <v>158</v>
      </c>
      <c r="C186" s="51">
        <v>0</v>
      </c>
      <c r="D186" s="52">
        <v>7</v>
      </c>
      <c r="E186" s="53" t="s">
        <v>71</v>
      </c>
      <c r="F186" s="53">
        <v>0</v>
      </c>
      <c r="G186" s="54"/>
      <c r="H186" s="54"/>
      <c r="I186" s="54"/>
      <c r="J186" s="53">
        <v>0</v>
      </c>
      <c r="K186" s="273" t="s">
        <v>287</v>
      </c>
    </row>
    <row r="187" spans="1:11" ht="15.75" thickBot="1">
      <c r="A187" s="311"/>
      <c r="B187" s="292"/>
      <c r="C187" s="51">
        <v>1</v>
      </c>
      <c r="D187" s="52">
        <v>7</v>
      </c>
      <c r="E187" s="53" t="s">
        <v>71</v>
      </c>
      <c r="F187" s="53">
        <v>0</v>
      </c>
      <c r="G187" s="43"/>
      <c r="H187" s="43"/>
      <c r="I187" s="43"/>
      <c r="J187" s="53" t="s">
        <v>288</v>
      </c>
      <c r="K187" s="274"/>
    </row>
    <row r="188" spans="1:11" ht="15.75" thickBot="1">
      <c r="A188" s="311"/>
      <c r="B188" s="292"/>
      <c r="C188" s="51">
        <v>2</v>
      </c>
      <c r="D188" s="52">
        <v>7</v>
      </c>
      <c r="E188" s="53" t="s">
        <v>71</v>
      </c>
      <c r="F188" s="53">
        <v>0</v>
      </c>
      <c r="G188" s="43"/>
      <c r="H188" s="43"/>
      <c r="I188" s="43"/>
      <c r="J188" s="53" t="s">
        <v>289</v>
      </c>
      <c r="K188" s="274"/>
    </row>
    <row r="189" spans="1:11" ht="15.75" thickBot="1">
      <c r="A189" s="311"/>
      <c r="B189" s="292"/>
      <c r="C189" s="51">
        <v>3</v>
      </c>
      <c r="D189" s="52">
        <v>7</v>
      </c>
      <c r="E189" s="53" t="s">
        <v>71</v>
      </c>
      <c r="F189" s="53">
        <v>0</v>
      </c>
      <c r="G189" s="43"/>
      <c r="H189" s="43" t="s">
        <v>290</v>
      </c>
      <c r="I189" s="43"/>
      <c r="J189" s="53" t="s">
        <v>291</v>
      </c>
      <c r="K189" s="274"/>
    </row>
    <row r="190" spans="1:11" ht="29.25" thickBot="1">
      <c r="A190" s="311"/>
      <c r="B190" s="292"/>
      <c r="C190" s="51">
        <v>4</v>
      </c>
      <c r="D190" s="52">
        <v>7</v>
      </c>
      <c r="E190" s="53" t="s">
        <v>71</v>
      </c>
      <c r="F190" s="53">
        <v>0</v>
      </c>
      <c r="G190" s="43"/>
      <c r="H190" s="43" t="s">
        <v>292</v>
      </c>
      <c r="I190" s="43"/>
      <c r="J190" s="53" t="s">
        <v>293</v>
      </c>
      <c r="K190" s="274"/>
    </row>
    <row r="191" spans="1:11" ht="15.75" thickBot="1">
      <c r="A191" s="311"/>
      <c r="B191" s="292"/>
      <c r="C191" s="51">
        <v>5</v>
      </c>
      <c r="D191" s="52">
        <v>7</v>
      </c>
      <c r="E191" s="53" t="s">
        <v>71</v>
      </c>
      <c r="F191" s="53">
        <v>0</v>
      </c>
      <c r="G191" s="43"/>
      <c r="H191" s="43" t="s">
        <v>294</v>
      </c>
      <c r="I191" s="43"/>
      <c r="J191" s="53" t="s">
        <v>295</v>
      </c>
      <c r="K191" s="274"/>
    </row>
    <row r="192" spans="1:11" ht="29.25" thickBot="1">
      <c r="A192" s="311"/>
      <c r="B192" s="292"/>
      <c r="C192" s="51">
        <v>6</v>
      </c>
      <c r="D192" s="52">
        <v>7</v>
      </c>
      <c r="E192" s="53" t="s">
        <v>71</v>
      </c>
      <c r="F192" s="53">
        <v>0</v>
      </c>
      <c r="G192" s="43"/>
      <c r="H192" s="43"/>
      <c r="I192" s="43"/>
      <c r="J192" s="53" t="s">
        <v>296</v>
      </c>
      <c r="K192" s="274"/>
    </row>
    <row r="193" spans="1:11" ht="15.75" thickBot="1">
      <c r="A193" s="311"/>
      <c r="B193" s="292"/>
      <c r="C193" s="51">
        <v>7</v>
      </c>
      <c r="D193" s="52">
        <v>7</v>
      </c>
      <c r="E193" s="53" t="s">
        <v>71</v>
      </c>
      <c r="F193" s="53">
        <v>0</v>
      </c>
      <c r="G193" s="43"/>
      <c r="H193" s="43"/>
      <c r="I193" s="43"/>
      <c r="J193" s="53" t="s">
        <v>297</v>
      </c>
      <c r="K193" s="274"/>
    </row>
    <row r="194" spans="1:11" ht="15.75" thickBot="1">
      <c r="A194" s="312"/>
      <c r="B194" s="293"/>
      <c r="C194" s="55"/>
      <c r="D194" s="55"/>
      <c r="E194" s="55"/>
      <c r="F194" s="55"/>
      <c r="G194" s="55"/>
      <c r="H194" s="55"/>
      <c r="I194" s="55"/>
      <c r="J194" s="55"/>
      <c r="K194" s="275"/>
    </row>
    <row r="195" spans="1:11" ht="15.75" thickBot="1">
      <c r="A195" s="276" t="s">
        <v>298</v>
      </c>
      <c r="B195" s="330" t="s">
        <v>276</v>
      </c>
      <c r="C195" s="289">
        <v>0</v>
      </c>
      <c r="D195" s="52">
        <v>7</v>
      </c>
      <c r="E195" s="53" t="s">
        <v>71</v>
      </c>
      <c r="F195" s="53">
        <v>5</v>
      </c>
      <c r="G195" s="54"/>
      <c r="H195" s="54"/>
      <c r="I195" s="51" t="s">
        <v>299</v>
      </c>
      <c r="J195" s="53" t="s">
        <v>300</v>
      </c>
      <c r="K195" s="273" t="s">
        <v>301</v>
      </c>
    </row>
    <row r="196" spans="1:11" ht="15.75" thickBot="1">
      <c r="A196" s="277"/>
      <c r="B196" s="331"/>
      <c r="C196" s="284"/>
      <c r="D196" s="52">
        <v>4</v>
      </c>
      <c r="E196" s="53" t="s">
        <v>71</v>
      </c>
      <c r="F196" s="53">
        <v>0</v>
      </c>
      <c r="G196" s="43"/>
      <c r="H196" s="43"/>
      <c r="I196" s="43"/>
      <c r="J196" s="54"/>
      <c r="K196" s="274"/>
    </row>
    <row r="197" spans="1:11" ht="15.75" thickBot="1">
      <c r="A197" s="277"/>
      <c r="B197" s="331"/>
      <c r="C197" s="51">
        <v>1</v>
      </c>
      <c r="D197" s="52">
        <v>7</v>
      </c>
      <c r="E197" s="53" t="s">
        <v>71</v>
      </c>
      <c r="F197" s="53">
        <v>0</v>
      </c>
      <c r="G197" s="43"/>
      <c r="H197" s="43"/>
      <c r="I197" s="43"/>
      <c r="J197" s="53" t="s">
        <v>302</v>
      </c>
      <c r="K197" s="274"/>
    </row>
    <row r="198" spans="1:11" ht="15.75" thickBot="1">
      <c r="A198" s="277"/>
      <c r="B198" s="331"/>
      <c r="C198" s="51">
        <v>2</v>
      </c>
      <c r="D198" s="52">
        <v>7</v>
      </c>
      <c r="E198" s="53" t="s">
        <v>71</v>
      </c>
      <c r="F198" s="53">
        <v>0</v>
      </c>
      <c r="G198" s="43"/>
      <c r="H198" s="43"/>
      <c r="I198" s="43"/>
      <c r="J198" s="53" t="s">
        <v>302</v>
      </c>
      <c r="K198" s="274"/>
    </row>
    <row r="199" spans="1:11" ht="43.5" thickBot="1">
      <c r="A199" s="277"/>
      <c r="B199" s="331"/>
      <c r="C199" s="51">
        <v>3</v>
      </c>
      <c r="D199" s="52">
        <v>7</v>
      </c>
      <c r="E199" s="53" t="s">
        <v>71</v>
      </c>
      <c r="F199" s="53">
        <v>0</v>
      </c>
      <c r="G199" s="43"/>
      <c r="H199" s="53" t="s">
        <v>303</v>
      </c>
      <c r="I199" s="51" t="s">
        <v>304</v>
      </c>
      <c r="J199" s="53" t="s">
        <v>305</v>
      </c>
      <c r="K199" s="274"/>
    </row>
    <row r="200" spans="1:11" ht="15.75" thickBot="1">
      <c r="A200" s="277"/>
      <c r="B200" s="331"/>
      <c r="C200" s="51">
        <v>4</v>
      </c>
      <c r="D200" s="52">
        <v>7</v>
      </c>
      <c r="E200" s="53" t="s">
        <v>71</v>
      </c>
      <c r="F200" s="53">
        <v>0</v>
      </c>
      <c r="G200" s="43"/>
      <c r="H200" s="43"/>
      <c r="I200" s="43"/>
      <c r="J200" s="53" t="s">
        <v>306</v>
      </c>
      <c r="K200" s="274"/>
    </row>
    <row r="201" spans="1:11" ht="15.75" thickBot="1">
      <c r="A201" s="277"/>
      <c r="B201" s="331"/>
      <c r="C201" s="51">
        <v>5</v>
      </c>
      <c r="D201" s="52">
        <v>7</v>
      </c>
      <c r="E201" s="53" t="s">
        <v>71</v>
      </c>
      <c r="F201" s="53">
        <v>0</v>
      </c>
      <c r="G201" s="43"/>
      <c r="H201" s="43"/>
      <c r="I201" s="43"/>
      <c r="J201" s="53" t="s">
        <v>307</v>
      </c>
      <c r="K201" s="274"/>
    </row>
    <row r="202" spans="1:11" ht="15.75" thickBot="1">
      <c r="A202" s="277"/>
      <c r="B202" s="331"/>
      <c r="C202" s="51">
        <v>6</v>
      </c>
      <c r="D202" s="52">
        <v>7</v>
      </c>
      <c r="E202" s="53" t="s">
        <v>71</v>
      </c>
      <c r="F202" s="53">
        <v>0</v>
      </c>
      <c r="G202" s="43"/>
      <c r="H202" s="43"/>
      <c r="I202" s="43"/>
      <c r="J202" s="53" t="s">
        <v>308</v>
      </c>
      <c r="K202" s="274"/>
    </row>
    <row r="203" spans="1:11" ht="15.75" thickBot="1">
      <c r="A203" s="277"/>
      <c r="B203" s="331"/>
      <c r="C203" s="51">
        <v>7</v>
      </c>
      <c r="D203" s="52">
        <v>7</v>
      </c>
      <c r="E203" s="53" t="s">
        <v>71</v>
      </c>
      <c r="F203" s="53">
        <v>0</v>
      </c>
      <c r="G203" s="43"/>
      <c r="H203" s="43"/>
      <c r="I203" s="43"/>
      <c r="J203" s="53">
        <v>0</v>
      </c>
      <c r="K203" s="274"/>
    </row>
    <row r="204" spans="1:11" ht="15.75" thickBot="1">
      <c r="A204" s="278"/>
      <c r="B204" s="332"/>
      <c r="C204" s="55"/>
      <c r="D204" s="55"/>
      <c r="E204" s="55"/>
      <c r="F204" s="55"/>
      <c r="G204" s="55"/>
      <c r="H204" s="55"/>
      <c r="I204" s="55"/>
      <c r="J204" s="55"/>
      <c r="K204" s="275"/>
    </row>
    <row r="205" spans="1:11" ht="15.75" thickBot="1">
      <c r="A205" s="276" t="s">
        <v>309</v>
      </c>
      <c r="B205" s="321" t="s">
        <v>310</v>
      </c>
      <c r="C205" s="51">
        <v>0</v>
      </c>
      <c r="D205" s="52">
        <v>7</v>
      </c>
      <c r="E205" s="53" t="s">
        <v>71</v>
      </c>
      <c r="F205" s="53">
        <v>0</v>
      </c>
      <c r="G205" s="54"/>
      <c r="H205" s="63" t="s">
        <v>311</v>
      </c>
      <c r="I205" s="54"/>
      <c r="J205" s="323" t="s">
        <v>312</v>
      </c>
      <c r="K205" s="325" t="s">
        <v>256</v>
      </c>
    </row>
    <row r="206" spans="1:11" ht="15.75" thickBot="1">
      <c r="A206" s="320"/>
      <c r="B206" s="322"/>
      <c r="C206" s="55"/>
      <c r="D206" s="55"/>
      <c r="E206" s="55"/>
      <c r="F206" s="55"/>
      <c r="G206" s="55"/>
      <c r="H206" s="64"/>
      <c r="I206" s="55"/>
      <c r="J206" s="324"/>
      <c r="K206" s="326"/>
    </row>
    <row r="207" spans="1:11" ht="15.75" thickBot="1">
      <c r="A207" s="43"/>
      <c r="B207" s="43"/>
      <c r="C207" s="54"/>
      <c r="D207" s="54"/>
      <c r="E207" s="54"/>
      <c r="F207" s="54"/>
      <c r="G207" s="54"/>
      <c r="H207" s="54"/>
      <c r="I207" s="54"/>
      <c r="J207" s="54"/>
      <c r="K207" s="44"/>
    </row>
    <row r="208" spans="1:11" ht="15.75" thickBot="1">
      <c r="A208" s="47"/>
      <c r="B208" s="47"/>
      <c r="C208" s="55"/>
      <c r="D208" s="55"/>
      <c r="E208" s="55"/>
      <c r="F208" s="55"/>
      <c r="G208" s="55"/>
      <c r="H208" s="55"/>
      <c r="I208" s="55"/>
      <c r="J208" s="55"/>
      <c r="K208" s="58"/>
    </row>
  </sheetData>
  <mergeCells count="120">
    <mergeCell ref="A205:A206"/>
    <mergeCell ref="B205:B206"/>
    <mergeCell ref="J205:J206"/>
    <mergeCell ref="K205:K206"/>
    <mergeCell ref="K176:K185"/>
    <mergeCell ref="C177:C178"/>
    <mergeCell ref="A186:A194"/>
    <mergeCell ref="B186:B194"/>
    <mergeCell ref="K186:K194"/>
    <mergeCell ref="A195:A204"/>
    <mergeCell ref="B195:B204"/>
    <mergeCell ref="C195:C196"/>
    <mergeCell ref="K195:K204"/>
    <mergeCell ref="A176:A185"/>
    <mergeCell ref="B176:B185"/>
    <mergeCell ref="G176:G177"/>
    <mergeCell ref="H176:H177"/>
    <mergeCell ref="I176:I177"/>
    <mergeCell ref="J176:J177"/>
    <mergeCell ref="A169:A175"/>
    <mergeCell ref="B169:B175"/>
    <mergeCell ref="C169:C170"/>
    <mergeCell ref="J169:J170"/>
    <mergeCell ref="K169:K175"/>
    <mergeCell ref="G170:G171"/>
    <mergeCell ref="H170:H171"/>
    <mergeCell ref="I170:I171"/>
    <mergeCell ref="A158:A159"/>
    <mergeCell ref="B158:B159"/>
    <mergeCell ref="K158:K159"/>
    <mergeCell ref="A160:A168"/>
    <mergeCell ref="B160:B168"/>
    <mergeCell ref="K160:K168"/>
    <mergeCell ref="A148:A157"/>
    <mergeCell ref="B148:B157"/>
    <mergeCell ref="H148:H149"/>
    <mergeCell ref="K148:K157"/>
    <mergeCell ref="C149:C150"/>
    <mergeCell ref="J149:J150"/>
    <mergeCell ref="A129:A138"/>
    <mergeCell ref="B129:B138"/>
    <mergeCell ref="K129:K138"/>
    <mergeCell ref="A139:A147"/>
    <mergeCell ref="B139:B147"/>
    <mergeCell ref="K139:K147"/>
    <mergeCell ref="K101:K109"/>
    <mergeCell ref="A110:A119"/>
    <mergeCell ref="B110:B119"/>
    <mergeCell ref="K110:K119"/>
    <mergeCell ref="C114:C115"/>
    <mergeCell ref="A120:A128"/>
    <mergeCell ref="B120:B128"/>
    <mergeCell ref="K120:K128"/>
    <mergeCell ref="A87:A93"/>
    <mergeCell ref="B87:B93"/>
    <mergeCell ref="A94:A100"/>
    <mergeCell ref="B94:B100"/>
    <mergeCell ref="A101:A109"/>
    <mergeCell ref="B101:B109"/>
    <mergeCell ref="H66:H67"/>
    <mergeCell ref="I66:I67"/>
    <mergeCell ref="A71:A79"/>
    <mergeCell ref="B71:B79"/>
    <mergeCell ref="K71:K79"/>
    <mergeCell ref="A80:A86"/>
    <mergeCell ref="B80:B86"/>
    <mergeCell ref="A62:A70"/>
    <mergeCell ref="B62:B70"/>
    <mergeCell ref="G62:G63"/>
    <mergeCell ref="H62:H63"/>
    <mergeCell ref="I62:I63"/>
    <mergeCell ref="K62:K70"/>
    <mergeCell ref="G64:G65"/>
    <mergeCell ref="H64:H65"/>
    <mergeCell ref="I64:I65"/>
    <mergeCell ref="G66:G67"/>
    <mergeCell ref="A52:A61"/>
    <mergeCell ref="B52:B61"/>
    <mergeCell ref="K52:K61"/>
    <mergeCell ref="H53:H54"/>
    <mergeCell ref="K31:K41"/>
    <mergeCell ref="C32:C33"/>
    <mergeCell ref="G34:G35"/>
    <mergeCell ref="H34:H35"/>
    <mergeCell ref="I34:I35"/>
    <mergeCell ref="J34:J35"/>
    <mergeCell ref="C35:C36"/>
    <mergeCell ref="A31:A41"/>
    <mergeCell ref="B31:B41"/>
    <mergeCell ref="G31:G32"/>
    <mergeCell ref="H31:H32"/>
    <mergeCell ref="I31:I32"/>
    <mergeCell ref="J31:J32"/>
    <mergeCell ref="A42:A51"/>
    <mergeCell ref="B42:B51"/>
    <mergeCell ref="K42:K51"/>
    <mergeCell ref="H43:H44"/>
    <mergeCell ref="A21:A30"/>
    <mergeCell ref="B21:B30"/>
    <mergeCell ref="K21:K30"/>
    <mergeCell ref="C23:C24"/>
    <mergeCell ref="G24:G25"/>
    <mergeCell ref="H24:H25"/>
    <mergeCell ref="I24:I25"/>
    <mergeCell ref="J24:J25"/>
    <mergeCell ref="G26:G27"/>
    <mergeCell ref="H26:H27"/>
    <mergeCell ref="I26:I27"/>
    <mergeCell ref="J26:J27"/>
    <mergeCell ref="D1:F1"/>
    <mergeCell ref="A2:A10"/>
    <mergeCell ref="B2:B10"/>
    <mergeCell ref="K2:K10"/>
    <mergeCell ref="A11:A20"/>
    <mergeCell ref="B11:B20"/>
    <mergeCell ref="K11:K20"/>
    <mergeCell ref="G13:G14"/>
    <mergeCell ref="H13:H14"/>
    <mergeCell ref="I13:I14"/>
    <mergeCell ref="J13:J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28E83-5162-4037-A9B3-5C8C6B574DAB}">
  <dimension ref="B1:Q17"/>
  <sheetViews>
    <sheetView topLeftCell="A2" zoomScale="175" zoomScaleNormal="175" workbookViewId="0">
      <selection activeCell="K3" sqref="K3:Q11"/>
    </sheetView>
  </sheetViews>
  <sheetFormatPr defaultColWidth="4" defaultRowHeight="11.25"/>
  <cols>
    <col min="1" max="1" width="4" style="3"/>
    <col min="2" max="2" width="4.5703125" style="3" customWidth="1"/>
    <col min="3" max="3" width="5.140625" style="3" bestFit="1" customWidth="1"/>
    <col min="4" max="4" width="4" style="3"/>
    <col min="5" max="5" width="3.5703125" style="3" bestFit="1" customWidth="1"/>
    <col min="6" max="6" width="4" style="3"/>
    <col min="7" max="7" width="4.42578125" style="3" bestFit="1" customWidth="1"/>
    <col min="8" max="8" width="1.140625" style="3" customWidth="1"/>
    <col min="9" max="9" width="5.28515625" style="3" bestFit="1" customWidth="1"/>
    <col min="10" max="10" width="2.140625" style="3" customWidth="1"/>
    <col min="11" max="11" width="4" style="3"/>
    <col min="12" max="12" width="6" style="3" bestFit="1" customWidth="1"/>
    <col min="13" max="15" width="4" style="3"/>
    <col min="16" max="16" width="5.140625" style="3" bestFit="1" customWidth="1"/>
    <col min="17" max="16384" width="4" style="3"/>
  </cols>
  <sheetData>
    <row r="1" spans="2:17">
      <c r="G1" s="157"/>
      <c r="H1" s="157"/>
      <c r="I1" s="157"/>
      <c r="J1" s="157"/>
    </row>
    <row r="2" spans="2:17">
      <c r="J2" s="157"/>
    </row>
    <row r="3" spans="2:17" ht="12" thickBot="1">
      <c r="E3" s="194" t="s">
        <v>434</v>
      </c>
      <c r="J3" s="157"/>
      <c r="N3" s="194" t="s">
        <v>434</v>
      </c>
    </row>
    <row r="4" spans="2:17">
      <c r="C4" s="197" t="s">
        <v>0</v>
      </c>
      <c r="D4" s="195"/>
      <c r="E4" s="333" t="s">
        <v>609</v>
      </c>
      <c r="F4" s="7"/>
      <c r="G4" s="3" t="s">
        <v>626</v>
      </c>
      <c r="I4" s="199" t="s">
        <v>634</v>
      </c>
      <c r="J4" s="157"/>
      <c r="K4" s="199" t="s">
        <v>634</v>
      </c>
      <c r="L4" s="30" t="s">
        <v>626</v>
      </c>
      <c r="M4" s="195"/>
      <c r="N4" s="333" t="s">
        <v>608</v>
      </c>
      <c r="O4" s="7"/>
      <c r="P4" s="202" t="s">
        <v>0</v>
      </c>
    </row>
    <row r="5" spans="2:17">
      <c r="C5" s="201" t="s">
        <v>40</v>
      </c>
      <c r="D5" s="8"/>
      <c r="E5" s="334"/>
      <c r="F5" s="12"/>
      <c r="G5" s="3" t="s">
        <v>627</v>
      </c>
      <c r="I5" s="199" t="s">
        <v>314</v>
      </c>
      <c r="K5" s="199" t="s">
        <v>314</v>
      </c>
      <c r="L5" s="30" t="s">
        <v>627</v>
      </c>
      <c r="M5" s="8"/>
      <c r="N5" s="334"/>
      <c r="O5" s="12"/>
      <c r="P5" s="203" t="s">
        <v>40</v>
      </c>
    </row>
    <row r="6" spans="2:17">
      <c r="C6" s="200" t="s">
        <v>400</v>
      </c>
      <c r="D6" s="196"/>
      <c r="E6" s="334"/>
      <c r="F6" s="12"/>
      <c r="G6" s="3" t="s">
        <v>628</v>
      </c>
      <c r="I6" s="199" t="s">
        <v>635</v>
      </c>
      <c r="K6" s="199" t="s">
        <v>635</v>
      </c>
      <c r="L6" s="30" t="s">
        <v>628</v>
      </c>
      <c r="M6" s="196"/>
      <c r="N6" s="334"/>
      <c r="O6" s="12"/>
      <c r="P6" s="204" t="s">
        <v>400</v>
      </c>
    </row>
    <row r="7" spans="2:17">
      <c r="B7" s="199" t="s">
        <v>633</v>
      </c>
      <c r="C7" s="30" t="s">
        <v>621</v>
      </c>
      <c r="D7" s="8"/>
      <c r="E7" s="334"/>
      <c r="F7" s="12"/>
      <c r="G7" s="3" t="s">
        <v>629</v>
      </c>
      <c r="I7" s="206" t="s">
        <v>636</v>
      </c>
      <c r="K7" s="206" t="s">
        <v>636</v>
      </c>
      <c r="L7" s="30" t="s">
        <v>629</v>
      </c>
      <c r="M7" s="8"/>
      <c r="N7" s="334"/>
      <c r="O7" s="12"/>
      <c r="P7" s="205" t="s">
        <v>621</v>
      </c>
      <c r="Q7" s="199" t="s">
        <v>633</v>
      </c>
    </row>
    <row r="8" spans="2:17">
      <c r="C8" s="30" t="s">
        <v>622</v>
      </c>
      <c r="D8" s="8"/>
      <c r="E8" s="334"/>
      <c r="F8" s="12"/>
      <c r="G8" s="3" t="s">
        <v>630</v>
      </c>
      <c r="I8" s="206" t="s">
        <v>537</v>
      </c>
      <c r="K8" s="206" t="s">
        <v>537</v>
      </c>
      <c r="L8" s="30" t="s">
        <v>630</v>
      </c>
      <c r="M8" s="8"/>
      <c r="N8" s="334"/>
      <c r="O8" s="12"/>
      <c r="P8" s="205" t="s">
        <v>622</v>
      </c>
    </row>
    <row r="9" spans="2:17">
      <c r="C9" s="30" t="s">
        <v>623</v>
      </c>
      <c r="D9" s="8"/>
      <c r="E9" s="334"/>
      <c r="F9" s="12"/>
      <c r="G9" s="3" t="s">
        <v>453</v>
      </c>
      <c r="I9" s="157"/>
      <c r="K9" s="157"/>
      <c r="L9" s="30" t="s">
        <v>453</v>
      </c>
      <c r="M9" s="8"/>
      <c r="N9" s="334"/>
      <c r="O9" s="12"/>
      <c r="P9" s="205" t="s">
        <v>623</v>
      </c>
    </row>
    <row r="10" spans="2:17">
      <c r="C10" s="30" t="s">
        <v>624</v>
      </c>
      <c r="D10" s="8"/>
      <c r="E10" s="334"/>
      <c r="F10" s="12"/>
      <c r="G10" s="3" t="s">
        <v>631</v>
      </c>
      <c r="I10" s="198" t="s">
        <v>637</v>
      </c>
      <c r="K10" s="198" t="s">
        <v>637</v>
      </c>
      <c r="L10" s="30" t="s">
        <v>631</v>
      </c>
      <c r="M10" s="8"/>
      <c r="N10" s="334"/>
      <c r="O10" s="12"/>
      <c r="P10" s="205" t="s">
        <v>624</v>
      </c>
    </row>
    <row r="11" spans="2:17" ht="12" thickBot="1">
      <c r="C11" s="30" t="s">
        <v>625</v>
      </c>
      <c r="D11" s="20"/>
      <c r="E11" s="335"/>
      <c r="F11" s="22"/>
      <c r="G11" s="3" t="s">
        <v>447</v>
      </c>
      <c r="I11" s="198" t="s">
        <v>638</v>
      </c>
      <c r="K11" s="198" t="s">
        <v>638</v>
      </c>
      <c r="L11" s="30" t="s">
        <v>447</v>
      </c>
      <c r="M11" s="20"/>
      <c r="N11" s="335"/>
      <c r="O11" s="22"/>
      <c r="P11" s="205" t="s">
        <v>625</v>
      </c>
    </row>
    <row r="15" spans="2:17">
      <c r="J15" s="157"/>
    </row>
    <row r="16" spans="2:17">
      <c r="J16" s="157"/>
    </row>
    <row r="17" spans="7:10">
      <c r="G17" s="157"/>
      <c r="H17" s="157"/>
      <c r="I17" s="157"/>
      <c r="J17" s="157"/>
    </row>
  </sheetData>
  <mergeCells count="2">
    <mergeCell ref="E4:E11"/>
    <mergeCell ref="N4:N1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EFED7-634F-4175-ABC2-4C108029D6FB}">
  <sheetPr>
    <pageSetUpPr fitToPage="1"/>
  </sheetPr>
  <dimension ref="A5:AI33"/>
  <sheetViews>
    <sheetView topLeftCell="A4" zoomScale="70" zoomScaleNormal="70" workbookViewId="0">
      <selection activeCell="P30" sqref="P30"/>
    </sheetView>
  </sheetViews>
  <sheetFormatPr defaultRowHeight="15"/>
  <cols>
    <col min="2" max="2" width="10.5703125" customWidth="1"/>
    <col min="3" max="3" width="3.85546875" bestFit="1" customWidth="1"/>
    <col min="4" max="4" width="4.7109375" bestFit="1" customWidth="1"/>
    <col min="6" max="6" width="4.7109375" bestFit="1" customWidth="1"/>
    <col min="7" max="7" width="3" bestFit="1" customWidth="1"/>
    <col min="8" max="8" width="10.5703125" bestFit="1" customWidth="1"/>
    <col min="9" max="9" width="9.140625" hidden="1" customWidth="1"/>
    <col min="11" max="11" width="16" customWidth="1"/>
    <col min="12" max="12" width="10.5703125" bestFit="1" customWidth="1"/>
    <col min="14" max="14" width="3.85546875" bestFit="1" customWidth="1"/>
    <col min="15" max="15" width="5.28515625" bestFit="1" customWidth="1"/>
    <col min="16" max="16" width="12" customWidth="1"/>
    <col min="17" max="17" width="5.28515625" bestFit="1" customWidth="1"/>
    <col min="18" max="18" width="3.85546875" bestFit="1" customWidth="1"/>
    <col min="23" max="23" width="9.7109375" bestFit="1" customWidth="1"/>
    <col min="25" max="25" width="21" bestFit="1" customWidth="1"/>
    <col min="27" max="27" width="25.42578125" bestFit="1" customWidth="1"/>
    <col min="29" max="29" width="3.42578125" customWidth="1"/>
    <col min="30" max="30" width="5.28515625" bestFit="1" customWidth="1"/>
    <col min="32" max="32" width="5.28515625" bestFit="1" customWidth="1"/>
    <col min="33" max="33" width="3.85546875" bestFit="1" customWidth="1"/>
  </cols>
  <sheetData>
    <row r="5" spans="1:35" ht="15.75" thickBot="1">
      <c r="E5" s="164" t="s">
        <v>434</v>
      </c>
      <c r="F5" s="2"/>
      <c r="P5" s="164" t="s">
        <v>434</v>
      </c>
    </row>
    <row r="6" spans="1:35" ht="15.75" thickBot="1">
      <c r="B6" s="190" t="s">
        <v>437</v>
      </c>
      <c r="C6" s="165">
        <v>20</v>
      </c>
      <c r="D6" s="166" t="s">
        <v>468</v>
      </c>
      <c r="E6" s="167"/>
      <c r="F6" s="166" t="s">
        <v>468</v>
      </c>
      <c r="G6" s="168">
        <v>19</v>
      </c>
      <c r="H6" s="103" t="s">
        <v>451</v>
      </c>
      <c r="I6" s="136"/>
      <c r="M6" t="str">
        <f>H6</f>
        <v>5V!</v>
      </c>
      <c r="N6" s="177">
        <f>G6</f>
        <v>19</v>
      </c>
      <c r="O6" s="178" t="str">
        <f>F6</f>
        <v>1st</v>
      </c>
      <c r="P6" s="167"/>
      <c r="Q6" s="178" t="str">
        <f>D6</f>
        <v>1st</v>
      </c>
      <c r="R6" s="179">
        <f>C6</f>
        <v>20</v>
      </c>
      <c r="S6" t="str">
        <f>B6</f>
        <v>GPIO 6</v>
      </c>
      <c r="W6" s="2" t="s">
        <v>613</v>
      </c>
      <c r="X6" s="2"/>
      <c r="AE6" s="164" t="s">
        <v>434</v>
      </c>
    </row>
    <row r="7" spans="1:35">
      <c r="B7" s="190" t="s">
        <v>438</v>
      </c>
      <c r="C7" s="169">
        <v>21</v>
      </c>
      <c r="D7" s="92" t="s">
        <v>469</v>
      </c>
      <c r="E7" s="2"/>
      <c r="F7" s="92" t="s">
        <v>469</v>
      </c>
      <c r="G7" s="170">
        <v>18</v>
      </c>
      <c r="H7" s="191" t="s">
        <v>452</v>
      </c>
      <c r="I7" s="192" t="s">
        <v>518</v>
      </c>
      <c r="M7" t="str">
        <f t="shared" ref="M7:M24" si="0">H7</f>
        <v>GPIO11</v>
      </c>
      <c r="N7" s="180">
        <f t="shared" ref="N7:N24" si="1">G7</f>
        <v>18</v>
      </c>
      <c r="O7" t="str">
        <f t="shared" ref="O7:O24" si="2">F7</f>
        <v>2nd</v>
      </c>
      <c r="P7" s="2"/>
      <c r="Q7" t="str">
        <f t="shared" ref="Q7:Q24" si="3">D7</f>
        <v>2nd</v>
      </c>
      <c r="R7" s="181">
        <f t="shared" ref="R7:R24" si="4">C7</f>
        <v>21</v>
      </c>
      <c r="S7" t="str">
        <f t="shared" ref="S7:S24" si="5">B7</f>
        <v>GPIO 7</v>
      </c>
      <c r="W7" t="s">
        <v>597</v>
      </c>
      <c r="X7" t="s">
        <v>399</v>
      </c>
      <c r="Y7" t="s">
        <v>499</v>
      </c>
      <c r="AB7" s="186" t="s">
        <v>451</v>
      </c>
      <c r="AC7" s="177">
        <v>19</v>
      </c>
      <c r="AD7" s="178" t="s">
        <v>468</v>
      </c>
      <c r="AE7" s="167"/>
      <c r="AF7" s="178" t="s">
        <v>468</v>
      </c>
      <c r="AG7" s="179">
        <v>20</v>
      </c>
      <c r="AH7" s="186" t="s">
        <v>437</v>
      </c>
    </row>
    <row r="8" spans="1:35" ht="15" customHeight="1">
      <c r="B8" s="190" t="s">
        <v>439</v>
      </c>
      <c r="C8" s="169">
        <v>22</v>
      </c>
      <c r="D8" s="92" t="s">
        <v>470</v>
      </c>
      <c r="E8" s="337" t="s">
        <v>608</v>
      </c>
      <c r="F8" s="92" t="s">
        <v>470</v>
      </c>
      <c r="G8" s="170">
        <v>17</v>
      </c>
      <c r="H8" s="191" t="s">
        <v>453</v>
      </c>
      <c r="I8" s="192" t="s">
        <v>520</v>
      </c>
      <c r="M8" t="str">
        <f t="shared" si="0"/>
        <v>GPIO10</v>
      </c>
      <c r="N8" s="180">
        <f t="shared" si="1"/>
        <v>17</v>
      </c>
      <c r="O8" t="str">
        <f t="shared" si="2"/>
        <v>3rd</v>
      </c>
      <c r="P8" s="336" t="s">
        <v>609</v>
      </c>
      <c r="Q8" t="str">
        <f t="shared" si="3"/>
        <v>3rd</v>
      </c>
      <c r="R8" s="181">
        <f t="shared" si="4"/>
        <v>22</v>
      </c>
      <c r="S8" t="str">
        <f t="shared" si="5"/>
        <v>GPIO 8</v>
      </c>
      <c r="W8" t="s">
        <v>596</v>
      </c>
      <c r="X8" t="s">
        <v>450</v>
      </c>
      <c r="Y8" t="s">
        <v>501</v>
      </c>
      <c r="AB8" s="186" t="s">
        <v>452</v>
      </c>
      <c r="AC8" s="180">
        <v>18</v>
      </c>
      <c r="AD8" t="s">
        <v>469</v>
      </c>
      <c r="AE8" s="2"/>
      <c r="AF8" t="s">
        <v>469</v>
      </c>
      <c r="AG8" s="181">
        <v>21</v>
      </c>
      <c r="AH8" s="186" t="s">
        <v>438</v>
      </c>
    </row>
    <row r="9" spans="1:35" ht="15" customHeight="1">
      <c r="A9" t="s">
        <v>602</v>
      </c>
      <c r="B9" s="40" t="s">
        <v>440</v>
      </c>
      <c r="C9" s="169">
        <v>23</v>
      </c>
      <c r="D9" s="92" t="s">
        <v>471</v>
      </c>
      <c r="E9" s="337"/>
      <c r="F9" s="92" t="s">
        <v>471</v>
      </c>
      <c r="G9" s="170">
        <v>16</v>
      </c>
      <c r="H9" s="191" t="s">
        <v>454</v>
      </c>
      <c r="I9" s="192" t="s">
        <v>522</v>
      </c>
      <c r="M9" t="str">
        <f t="shared" si="0"/>
        <v>GPIO 9</v>
      </c>
      <c r="N9" s="180">
        <f t="shared" si="1"/>
        <v>16</v>
      </c>
      <c r="O9" t="str">
        <f t="shared" si="2"/>
        <v>4th</v>
      </c>
      <c r="P9" s="336"/>
      <c r="Q9" t="str">
        <f t="shared" si="3"/>
        <v>4th</v>
      </c>
      <c r="R9" s="181">
        <f t="shared" si="4"/>
        <v>23</v>
      </c>
      <c r="S9" t="str">
        <f t="shared" si="5"/>
        <v>GPIO15</v>
      </c>
      <c r="T9" t="s">
        <v>602</v>
      </c>
      <c r="W9" t="s">
        <v>598</v>
      </c>
      <c r="X9" t="s">
        <v>447</v>
      </c>
      <c r="Y9" t="s">
        <v>610</v>
      </c>
      <c r="AB9" s="186" t="s">
        <v>453</v>
      </c>
      <c r="AC9" s="180">
        <v>17</v>
      </c>
      <c r="AD9" t="s">
        <v>470</v>
      </c>
      <c r="AE9" s="336" t="s">
        <v>609</v>
      </c>
      <c r="AF9" t="s">
        <v>470</v>
      </c>
      <c r="AG9" s="181">
        <v>22</v>
      </c>
      <c r="AH9" s="186" t="s">
        <v>439</v>
      </c>
    </row>
    <row r="10" spans="1:35" ht="15.75" customHeight="1">
      <c r="B10" s="40" t="s">
        <v>441</v>
      </c>
      <c r="C10" s="169">
        <v>24</v>
      </c>
      <c r="D10" s="92" t="s">
        <v>472</v>
      </c>
      <c r="E10" s="337"/>
      <c r="F10" s="92" t="s">
        <v>472</v>
      </c>
      <c r="G10" s="171">
        <v>15</v>
      </c>
      <c r="H10" t="s">
        <v>394</v>
      </c>
      <c r="I10" s="153" t="s">
        <v>523</v>
      </c>
      <c r="J10" t="s">
        <v>617</v>
      </c>
      <c r="L10" t="s">
        <v>617</v>
      </c>
      <c r="M10" t="str">
        <f t="shared" si="0"/>
        <v>GPIO13</v>
      </c>
      <c r="N10" s="180">
        <f t="shared" si="1"/>
        <v>15</v>
      </c>
      <c r="O10" t="str">
        <f t="shared" si="2"/>
        <v>5th</v>
      </c>
      <c r="P10" s="336"/>
      <c r="Q10" t="str">
        <f t="shared" si="3"/>
        <v>5th</v>
      </c>
      <c r="R10" s="181">
        <f t="shared" si="4"/>
        <v>24</v>
      </c>
      <c r="S10" t="str">
        <f t="shared" si="5"/>
        <v>GPIO 2</v>
      </c>
      <c r="W10" t="s">
        <v>599</v>
      </c>
      <c r="X10" t="s">
        <v>446</v>
      </c>
      <c r="Y10" t="s">
        <v>592</v>
      </c>
      <c r="AB10" s="186" t="s">
        <v>454</v>
      </c>
      <c r="AC10" s="180">
        <v>16</v>
      </c>
      <c r="AD10" t="s">
        <v>471</v>
      </c>
      <c r="AE10" s="336"/>
      <c r="AF10" t="s">
        <v>471</v>
      </c>
      <c r="AG10" s="181">
        <v>23</v>
      </c>
      <c r="AH10" s="87" t="s">
        <v>440</v>
      </c>
      <c r="AI10" s="84">
        <v>1</v>
      </c>
    </row>
    <row r="11" spans="1:35">
      <c r="B11" s="40" t="s">
        <v>442</v>
      </c>
      <c r="C11" s="169">
        <v>25</v>
      </c>
      <c r="D11" s="92" t="s">
        <v>473</v>
      </c>
      <c r="E11" s="337"/>
      <c r="F11" s="92" t="s">
        <v>473</v>
      </c>
      <c r="G11" s="171">
        <v>14</v>
      </c>
      <c r="H11" s="1" t="s">
        <v>313</v>
      </c>
      <c r="I11" s="136"/>
      <c r="M11" t="str">
        <f t="shared" si="0"/>
        <v>GND</v>
      </c>
      <c r="N11" s="180">
        <f t="shared" si="1"/>
        <v>14</v>
      </c>
      <c r="O11" t="str">
        <f t="shared" si="2"/>
        <v>6th</v>
      </c>
      <c r="P11" s="336"/>
      <c r="Q11" t="str">
        <f t="shared" si="3"/>
        <v>6th</v>
      </c>
      <c r="R11" s="181">
        <f t="shared" si="4"/>
        <v>25</v>
      </c>
      <c r="S11" t="str">
        <f t="shared" si="5"/>
        <v>GPIO 0</v>
      </c>
      <c r="W11" t="s">
        <v>600</v>
      </c>
      <c r="X11" t="s">
        <v>387</v>
      </c>
      <c r="Y11" t="s">
        <v>620</v>
      </c>
      <c r="AA11">
        <v>11</v>
      </c>
      <c r="AB11" s="87" t="s">
        <v>394</v>
      </c>
      <c r="AC11" s="180">
        <v>15</v>
      </c>
      <c r="AD11" t="s">
        <v>472</v>
      </c>
      <c r="AE11" s="336"/>
      <c r="AF11" t="s">
        <v>472</v>
      </c>
      <c r="AG11" s="181">
        <v>24</v>
      </c>
      <c r="AH11" s="187" t="s">
        <v>441</v>
      </c>
      <c r="AI11" s="84"/>
    </row>
    <row r="12" spans="1:35">
      <c r="B12" s="40" t="s">
        <v>443</v>
      </c>
      <c r="C12" s="169">
        <v>26</v>
      </c>
      <c r="D12" s="92" t="s">
        <v>474</v>
      </c>
      <c r="E12" s="337"/>
      <c r="F12" s="92" t="s">
        <v>474</v>
      </c>
      <c r="G12" s="171">
        <v>13</v>
      </c>
      <c r="H12" s="1" t="s">
        <v>395</v>
      </c>
      <c r="I12" s="193" t="s">
        <v>524</v>
      </c>
      <c r="J12" t="s">
        <v>606</v>
      </c>
      <c r="L12" t="s">
        <v>606</v>
      </c>
      <c r="M12" t="str">
        <f t="shared" si="0"/>
        <v>GPIO12</v>
      </c>
      <c r="N12" s="180">
        <f t="shared" si="1"/>
        <v>13</v>
      </c>
      <c r="O12" t="str">
        <f t="shared" si="2"/>
        <v>7th</v>
      </c>
      <c r="P12" s="336"/>
      <c r="Q12" t="str">
        <f t="shared" si="3"/>
        <v>7th</v>
      </c>
      <c r="R12" s="181">
        <f t="shared" si="4"/>
        <v>26</v>
      </c>
      <c r="S12" t="str">
        <f t="shared" si="5"/>
        <v>GPIO 4</v>
      </c>
      <c r="W12" t="s">
        <v>601</v>
      </c>
      <c r="X12" t="s">
        <v>398</v>
      </c>
      <c r="Y12" t="s">
        <v>593</v>
      </c>
      <c r="AB12" s="186" t="s">
        <v>313</v>
      </c>
      <c r="AC12" s="180">
        <v>14</v>
      </c>
      <c r="AD12" t="s">
        <v>473</v>
      </c>
      <c r="AE12" s="336"/>
      <c r="AF12" t="s">
        <v>473</v>
      </c>
      <c r="AG12" s="181">
        <v>25</v>
      </c>
      <c r="AH12" s="186" t="s">
        <v>442</v>
      </c>
      <c r="AI12" s="84"/>
    </row>
    <row r="13" spans="1:35">
      <c r="A13" t="s">
        <v>600</v>
      </c>
      <c r="B13" s="40" t="s">
        <v>387</v>
      </c>
      <c r="C13" s="169">
        <v>27</v>
      </c>
      <c r="D13" s="92" t="s">
        <v>475</v>
      </c>
      <c r="E13" s="337"/>
      <c r="F13" s="92" t="s">
        <v>475</v>
      </c>
      <c r="G13" s="171">
        <v>12</v>
      </c>
      <c r="H13" t="s">
        <v>396</v>
      </c>
      <c r="I13" s="136" t="s">
        <v>517</v>
      </c>
      <c r="J13">
        <v>0</v>
      </c>
      <c r="L13" t="s">
        <v>595</v>
      </c>
      <c r="M13" t="str">
        <f t="shared" si="0"/>
        <v>GPIO14</v>
      </c>
      <c r="N13" s="180">
        <f t="shared" si="1"/>
        <v>12</v>
      </c>
      <c r="O13" t="str">
        <f t="shared" si="2"/>
        <v>8th</v>
      </c>
      <c r="P13" s="336"/>
      <c r="Q13" t="str">
        <f t="shared" si="3"/>
        <v>8th</v>
      </c>
      <c r="R13" s="181">
        <f t="shared" si="4"/>
        <v>27</v>
      </c>
      <c r="S13" t="str">
        <f t="shared" si="5"/>
        <v>GPIO16</v>
      </c>
      <c r="T13" t="s">
        <v>600</v>
      </c>
      <c r="W13" t="s">
        <v>602</v>
      </c>
      <c r="AA13" s="1"/>
      <c r="AB13" s="187" t="s">
        <v>395</v>
      </c>
      <c r="AC13" s="180">
        <v>13</v>
      </c>
      <c r="AD13" t="s">
        <v>474</v>
      </c>
      <c r="AE13" s="336"/>
      <c r="AF13" t="s">
        <v>474</v>
      </c>
      <c r="AG13" s="181">
        <v>26</v>
      </c>
      <c r="AH13" s="87" t="s">
        <v>443</v>
      </c>
      <c r="AI13" s="84">
        <v>2</v>
      </c>
    </row>
    <row r="14" spans="1:35">
      <c r="A14" t="s">
        <v>616</v>
      </c>
      <c r="B14" s="40" t="s">
        <v>444</v>
      </c>
      <c r="C14" s="169">
        <v>28</v>
      </c>
      <c r="D14" s="92" t="s">
        <v>476</v>
      </c>
      <c r="E14" s="337"/>
      <c r="F14" s="92" t="s">
        <v>476</v>
      </c>
      <c r="G14" s="171">
        <v>11</v>
      </c>
      <c r="H14" t="s">
        <v>397</v>
      </c>
      <c r="I14" s="136" t="s">
        <v>516</v>
      </c>
      <c r="M14" t="str">
        <f t="shared" si="0"/>
        <v>GPIO27</v>
      </c>
      <c r="N14" s="180">
        <f t="shared" si="1"/>
        <v>11</v>
      </c>
      <c r="O14" t="str">
        <f t="shared" si="2"/>
        <v>9nt</v>
      </c>
      <c r="P14" s="336"/>
      <c r="Q14" t="str">
        <f t="shared" si="3"/>
        <v>9nt</v>
      </c>
      <c r="R14" s="181">
        <f t="shared" si="4"/>
        <v>28</v>
      </c>
      <c r="S14" t="str">
        <f t="shared" si="5"/>
        <v>GPIO17</v>
      </c>
      <c r="T14" t="s">
        <v>616</v>
      </c>
      <c r="W14" t="s">
        <v>603</v>
      </c>
      <c r="X14" t="s">
        <v>458</v>
      </c>
      <c r="Y14" t="s">
        <v>339</v>
      </c>
      <c r="AA14">
        <v>12</v>
      </c>
      <c r="AB14" s="87" t="s">
        <v>396</v>
      </c>
      <c r="AC14" s="180">
        <v>12</v>
      </c>
      <c r="AD14" t="s">
        <v>475</v>
      </c>
      <c r="AE14" s="336"/>
      <c r="AF14" t="s">
        <v>475</v>
      </c>
      <c r="AG14" s="181">
        <v>27</v>
      </c>
      <c r="AH14" s="87" t="s">
        <v>387</v>
      </c>
      <c r="AI14" s="84">
        <v>3</v>
      </c>
    </row>
    <row r="15" spans="1:35">
      <c r="B15" s="40" t="s">
        <v>445</v>
      </c>
      <c r="C15" s="169">
        <v>29</v>
      </c>
      <c r="D15" s="92" t="s">
        <v>477</v>
      </c>
      <c r="E15" s="337"/>
      <c r="F15" s="92" t="s">
        <v>477</v>
      </c>
      <c r="G15" s="171">
        <v>10</v>
      </c>
      <c r="H15" t="s">
        <v>455</v>
      </c>
      <c r="I15" s="136" t="s">
        <v>515</v>
      </c>
      <c r="J15" t="s">
        <v>604</v>
      </c>
      <c r="L15" t="s">
        <v>604</v>
      </c>
      <c r="M15" t="str">
        <f t="shared" si="0"/>
        <v>GPIO26</v>
      </c>
      <c r="N15" s="180">
        <f t="shared" si="1"/>
        <v>10</v>
      </c>
      <c r="O15" t="str">
        <f t="shared" si="2"/>
        <v>10th</v>
      </c>
      <c r="P15" s="336"/>
      <c r="Q15" t="str">
        <f t="shared" si="3"/>
        <v>10th</v>
      </c>
      <c r="R15" s="181">
        <f t="shared" si="4"/>
        <v>29</v>
      </c>
      <c r="S15" t="str">
        <f t="shared" si="5"/>
        <v>GPIO 5</v>
      </c>
      <c r="W15" t="s">
        <v>605</v>
      </c>
      <c r="AA15">
        <v>13</v>
      </c>
      <c r="AB15" s="87" t="s">
        <v>397</v>
      </c>
      <c r="AC15" s="180">
        <v>11</v>
      </c>
      <c r="AD15" t="s">
        <v>476</v>
      </c>
      <c r="AE15" s="336"/>
      <c r="AF15" t="s">
        <v>476</v>
      </c>
      <c r="AG15" s="181">
        <v>28</v>
      </c>
      <c r="AH15" s="87" t="s">
        <v>444</v>
      </c>
      <c r="AI15" s="84">
        <v>4</v>
      </c>
    </row>
    <row r="16" spans="1:35">
      <c r="A16" t="s">
        <v>601</v>
      </c>
      <c r="B16" s="40" t="s">
        <v>398</v>
      </c>
      <c r="C16" s="169">
        <v>30</v>
      </c>
      <c r="D16" s="92" t="s">
        <v>478</v>
      </c>
      <c r="E16" s="337"/>
      <c r="F16" s="92" t="s">
        <v>478</v>
      </c>
      <c r="G16" s="171">
        <v>9</v>
      </c>
      <c r="H16" s="1" t="s">
        <v>456</v>
      </c>
      <c r="I16" s="193" t="s">
        <v>514</v>
      </c>
      <c r="J16" t="s">
        <v>607</v>
      </c>
      <c r="L16" t="s">
        <v>607</v>
      </c>
      <c r="M16" t="str">
        <f t="shared" si="0"/>
        <v>GPIO25</v>
      </c>
      <c r="N16" s="180">
        <f t="shared" si="1"/>
        <v>9</v>
      </c>
      <c r="O16" t="str">
        <f t="shared" si="2"/>
        <v>11th</v>
      </c>
      <c r="P16" s="336"/>
      <c r="Q16" t="str">
        <f t="shared" si="3"/>
        <v>11th</v>
      </c>
      <c r="R16" s="181">
        <f t="shared" si="4"/>
        <v>30</v>
      </c>
      <c r="S16" t="str">
        <f t="shared" si="5"/>
        <v>GPIO18</v>
      </c>
      <c r="T16" t="s">
        <v>601</v>
      </c>
      <c r="W16" t="s">
        <v>604</v>
      </c>
      <c r="X16" t="s">
        <v>455</v>
      </c>
      <c r="Y16" t="s">
        <v>594</v>
      </c>
      <c r="AA16">
        <v>14</v>
      </c>
      <c r="AB16" s="87" t="s">
        <v>455</v>
      </c>
      <c r="AC16" s="180">
        <v>10</v>
      </c>
      <c r="AD16" t="s">
        <v>477</v>
      </c>
      <c r="AE16" s="336"/>
      <c r="AF16" t="s">
        <v>477</v>
      </c>
      <c r="AG16" s="181">
        <v>29</v>
      </c>
      <c r="AH16" s="87" t="s">
        <v>445</v>
      </c>
      <c r="AI16" s="84">
        <v>5</v>
      </c>
    </row>
    <row r="17" spans="1:35">
      <c r="A17" t="s">
        <v>599</v>
      </c>
      <c r="B17" s="40" t="s">
        <v>446</v>
      </c>
      <c r="C17" s="169">
        <v>31</v>
      </c>
      <c r="D17" s="92" t="s">
        <v>479</v>
      </c>
      <c r="E17" s="337"/>
      <c r="F17" s="92" t="s">
        <v>479</v>
      </c>
      <c r="G17" s="171">
        <v>8</v>
      </c>
      <c r="H17" t="s">
        <v>457</v>
      </c>
      <c r="I17" s="136" t="s">
        <v>513</v>
      </c>
      <c r="J17" t="s">
        <v>605</v>
      </c>
      <c r="L17" t="s">
        <v>605</v>
      </c>
      <c r="M17" t="str">
        <f t="shared" si="0"/>
        <v>GPIO33</v>
      </c>
      <c r="N17" s="180">
        <f t="shared" si="1"/>
        <v>8</v>
      </c>
      <c r="O17" t="str">
        <f t="shared" si="2"/>
        <v>12th</v>
      </c>
      <c r="P17" s="336"/>
      <c r="Q17" t="str">
        <f t="shared" si="3"/>
        <v>12th</v>
      </c>
      <c r="R17" s="181">
        <f t="shared" si="4"/>
        <v>31</v>
      </c>
      <c r="S17" t="str">
        <f t="shared" si="5"/>
        <v>GPIO19</v>
      </c>
      <c r="T17" t="s">
        <v>599</v>
      </c>
      <c r="W17" t="s">
        <v>595</v>
      </c>
      <c r="X17" t="s">
        <v>397</v>
      </c>
      <c r="Y17" t="s">
        <v>611</v>
      </c>
      <c r="AA17">
        <v>15</v>
      </c>
      <c r="AB17" s="87" t="s">
        <v>456</v>
      </c>
      <c r="AC17" s="180">
        <v>9</v>
      </c>
      <c r="AD17" t="s">
        <v>478</v>
      </c>
      <c r="AE17" s="336"/>
      <c r="AF17" t="s">
        <v>478</v>
      </c>
      <c r="AG17" s="181">
        <v>30</v>
      </c>
      <c r="AH17" s="87" t="s">
        <v>398</v>
      </c>
      <c r="AI17" s="84">
        <v>6</v>
      </c>
    </row>
    <row r="18" spans="1:35">
      <c r="B18" s="40" t="s">
        <v>313</v>
      </c>
      <c r="C18" s="169">
        <v>32</v>
      </c>
      <c r="D18" s="92" t="s">
        <v>480</v>
      </c>
      <c r="E18" s="337"/>
      <c r="F18" s="92" t="s">
        <v>480</v>
      </c>
      <c r="G18" s="171">
        <v>7</v>
      </c>
      <c r="H18" t="s">
        <v>458</v>
      </c>
      <c r="I18" s="136" t="s">
        <v>512</v>
      </c>
      <c r="J18" t="s">
        <v>603</v>
      </c>
      <c r="L18" t="s">
        <v>603</v>
      </c>
      <c r="M18" t="str">
        <f t="shared" si="0"/>
        <v>GPIO32</v>
      </c>
      <c r="N18" s="180">
        <f t="shared" si="1"/>
        <v>7</v>
      </c>
      <c r="O18" t="str">
        <f t="shared" si="2"/>
        <v>13th</v>
      </c>
      <c r="P18" s="336"/>
      <c r="Q18" t="str">
        <f t="shared" si="3"/>
        <v>13th</v>
      </c>
      <c r="R18" s="181">
        <f t="shared" si="4"/>
        <v>32</v>
      </c>
      <c r="S18" t="str">
        <f t="shared" si="5"/>
        <v>GND</v>
      </c>
      <c r="W18" t="s">
        <v>616</v>
      </c>
      <c r="X18" t="s">
        <v>396</v>
      </c>
      <c r="Y18" t="s">
        <v>612</v>
      </c>
      <c r="AA18">
        <v>16</v>
      </c>
      <c r="AB18" s="87" t="s">
        <v>457</v>
      </c>
      <c r="AC18" s="180">
        <v>8</v>
      </c>
      <c r="AD18" t="s">
        <v>479</v>
      </c>
      <c r="AE18" s="336"/>
      <c r="AF18" t="s">
        <v>479</v>
      </c>
      <c r="AG18" s="181">
        <v>31</v>
      </c>
      <c r="AH18" s="87" t="s">
        <v>446</v>
      </c>
      <c r="AI18" s="84">
        <v>7</v>
      </c>
    </row>
    <row r="19" spans="1:35">
      <c r="A19" t="s">
        <v>598</v>
      </c>
      <c r="B19" s="40" t="s">
        <v>447</v>
      </c>
      <c r="C19" s="169">
        <v>33</v>
      </c>
      <c r="D19" s="92" t="s">
        <v>481</v>
      </c>
      <c r="E19" s="337"/>
      <c r="F19" s="92" t="s">
        <v>481</v>
      </c>
      <c r="G19" s="171">
        <v>6</v>
      </c>
      <c r="H19" t="s">
        <v>459</v>
      </c>
      <c r="I19" s="136" t="s">
        <v>511</v>
      </c>
      <c r="M19" t="str">
        <f t="shared" si="0"/>
        <v>GPIO35</v>
      </c>
      <c r="N19" s="180">
        <f t="shared" si="1"/>
        <v>6</v>
      </c>
      <c r="O19" t="str">
        <f t="shared" si="2"/>
        <v>14th</v>
      </c>
      <c r="P19" s="336"/>
      <c r="Q19" t="str">
        <f t="shared" si="3"/>
        <v>14th</v>
      </c>
      <c r="R19" s="181">
        <f t="shared" si="4"/>
        <v>33</v>
      </c>
      <c r="S19" t="str">
        <f t="shared" si="5"/>
        <v>GPIO21</v>
      </c>
      <c r="T19" t="s">
        <v>598</v>
      </c>
      <c r="W19" t="s">
        <v>617</v>
      </c>
      <c r="AA19">
        <v>17</v>
      </c>
      <c r="AB19" s="87" t="s">
        <v>458</v>
      </c>
      <c r="AC19" s="180">
        <v>7</v>
      </c>
      <c r="AD19" t="s">
        <v>480</v>
      </c>
      <c r="AE19" s="336"/>
      <c r="AF19" t="s">
        <v>480</v>
      </c>
      <c r="AG19" s="181">
        <v>32</v>
      </c>
      <c r="AH19" s="186" t="s">
        <v>313</v>
      </c>
      <c r="AI19" s="84"/>
    </row>
    <row r="20" spans="1:35">
      <c r="B20" s="40" t="s">
        <v>448</v>
      </c>
      <c r="C20" s="169">
        <v>34</v>
      </c>
      <c r="D20" s="92" t="s">
        <v>482</v>
      </c>
      <c r="E20" s="337"/>
      <c r="F20" s="92" t="s">
        <v>482</v>
      </c>
      <c r="G20" s="171">
        <v>5</v>
      </c>
      <c r="H20" t="s">
        <v>460</v>
      </c>
      <c r="I20" s="136" t="s">
        <v>510</v>
      </c>
      <c r="M20" t="str">
        <f t="shared" si="0"/>
        <v>GPIO34</v>
      </c>
      <c r="N20" s="180">
        <f t="shared" si="1"/>
        <v>5</v>
      </c>
      <c r="O20" t="str">
        <f t="shared" si="2"/>
        <v>15th</v>
      </c>
      <c r="P20" s="336"/>
      <c r="Q20" t="str">
        <f t="shared" si="3"/>
        <v>15th</v>
      </c>
      <c r="R20" s="181">
        <f t="shared" si="4"/>
        <v>34</v>
      </c>
      <c r="S20" t="str">
        <f t="shared" si="5"/>
        <v>GPIO 3</v>
      </c>
      <c r="W20" t="s">
        <v>618</v>
      </c>
      <c r="AA20">
        <v>18</v>
      </c>
      <c r="AB20" s="188" t="s">
        <v>459</v>
      </c>
      <c r="AC20" s="180">
        <v>6</v>
      </c>
      <c r="AD20" t="s">
        <v>481</v>
      </c>
      <c r="AE20" s="336"/>
      <c r="AF20" t="s">
        <v>481</v>
      </c>
      <c r="AG20" s="181">
        <v>33</v>
      </c>
      <c r="AH20" s="87" t="s">
        <v>447</v>
      </c>
      <c r="AI20" s="84">
        <v>8</v>
      </c>
    </row>
    <row r="21" spans="1:35">
      <c r="B21" s="40" t="s">
        <v>449</v>
      </c>
      <c r="C21" s="172">
        <v>35</v>
      </c>
      <c r="D21" s="92" t="s">
        <v>483</v>
      </c>
      <c r="E21" s="337"/>
      <c r="F21" s="92" t="s">
        <v>483</v>
      </c>
      <c r="G21" s="171">
        <v>4</v>
      </c>
      <c r="H21" t="s">
        <v>461</v>
      </c>
      <c r="I21" s="136" t="s">
        <v>509</v>
      </c>
      <c r="M21" t="str">
        <f t="shared" si="0"/>
        <v>GPIO39</v>
      </c>
      <c r="N21" s="180">
        <f t="shared" si="1"/>
        <v>4</v>
      </c>
      <c r="O21" t="str">
        <f t="shared" si="2"/>
        <v>16th</v>
      </c>
      <c r="P21" s="336"/>
      <c r="Q21" t="str">
        <f t="shared" si="3"/>
        <v>16th</v>
      </c>
      <c r="R21" s="181">
        <f t="shared" si="4"/>
        <v>35</v>
      </c>
      <c r="S21" t="str">
        <f t="shared" si="5"/>
        <v>GPIO 1</v>
      </c>
      <c r="W21" t="s">
        <v>619</v>
      </c>
      <c r="AA21">
        <v>19</v>
      </c>
      <c r="AB21" s="188" t="s">
        <v>460</v>
      </c>
      <c r="AC21" s="180">
        <v>5</v>
      </c>
      <c r="AD21" t="s">
        <v>482</v>
      </c>
      <c r="AE21" s="336"/>
      <c r="AF21" t="s">
        <v>482</v>
      </c>
      <c r="AG21" s="181">
        <v>34</v>
      </c>
      <c r="AH21" s="186" t="s">
        <v>448</v>
      </c>
      <c r="AI21" s="84"/>
    </row>
    <row r="22" spans="1:35">
      <c r="A22" t="s">
        <v>596</v>
      </c>
      <c r="B22" s="40" t="s">
        <v>450</v>
      </c>
      <c r="C22" s="169">
        <v>36</v>
      </c>
      <c r="D22" s="92" t="s">
        <v>484</v>
      </c>
      <c r="E22" s="337"/>
      <c r="F22" s="92" t="s">
        <v>484</v>
      </c>
      <c r="G22" s="171">
        <v>3</v>
      </c>
      <c r="H22" t="s">
        <v>462</v>
      </c>
      <c r="I22" s="136" t="s">
        <v>508</v>
      </c>
      <c r="M22" t="str">
        <f t="shared" si="0"/>
        <v>GPIO36</v>
      </c>
      <c r="N22" s="180">
        <f t="shared" si="1"/>
        <v>3</v>
      </c>
      <c r="O22" t="str">
        <f t="shared" si="2"/>
        <v>17th</v>
      </c>
      <c r="P22" s="336"/>
      <c r="Q22" t="str">
        <f t="shared" si="3"/>
        <v>17th</v>
      </c>
      <c r="R22" s="181">
        <f t="shared" si="4"/>
        <v>36</v>
      </c>
      <c r="S22" t="str">
        <f t="shared" si="5"/>
        <v>GPIO22</v>
      </c>
      <c r="T22" t="s">
        <v>596</v>
      </c>
      <c r="AA22">
        <v>20</v>
      </c>
      <c r="AB22" s="188" t="s">
        <v>461</v>
      </c>
      <c r="AC22" s="180">
        <v>4</v>
      </c>
      <c r="AD22" t="s">
        <v>483</v>
      </c>
      <c r="AE22" s="336"/>
      <c r="AF22" t="s">
        <v>483</v>
      </c>
      <c r="AG22" s="181">
        <v>35</v>
      </c>
      <c r="AH22" s="186" t="s">
        <v>449</v>
      </c>
      <c r="AI22" s="84"/>
    </row>
    <row r="23" spans="1:35">
      <c r="A23" t="s">
        <v>597</v>
      </c>
      <c r="B23" s="40" t="s">
        <v>399</v>
      </c>
      <c r="C23" s="169">
        <v>37</v>
      </c>
      <c r="D23" s="92" t="s">
        <v>486</v>
      </c>
      <c r="E23" s="2"/>
      <c r="F23" s="92" t="s">
        <v>486</v>
      </c>
      <c r="G23" s="171">
        <v>2</v>
      </c>
      <c r="H23" s="1" t="s">
        <v>463</v>
      </c>
      <c r="I23" s="136"/>
      <c r="M23" t="str">
        <f t="shared" si="0"/>
        <v>RESET</v>
      </c>
      <c r="N23" s="180">
        <f t="shared" si="1"/>
        <v>2</v>
      </c>
      <c r="O23" t="str">
        <f t="shared" si="2"/>
        <v>18th</v>
      </c>
      <c r="P23" s="336"/>
      <c r="Q23" t="str">
        <f t="shared" si="3"/>
        <v>18th</v>
      </c>
      <c r="R23" s="181">
        <f t="shared" si="4"/>
        <v>37</v>
      </c>
      <c r="S23" t="str">
        <f t="shared" si="5"/>
        <v>GPIO23</v>
      </c>
      <c r="T23" t="s">
        <v>597</v>
      </c>
      <c r="AA23">
        <v>21</v>
      </c>
      <c r="AB23" s="188" t="s">
        <v>462</v>
      </c>
      <c r="AC23" s="180">
        <v>3</v>
      </c>
      <c r="AD23" t="s">
        <v>484</v>
      </c>
      <c r="AE23" s="336"/>
      <c r="AF23" t="s">
        <v>484</v>
      </c>
      <c r="AG23" s="181">
        <v>36</v>
      </c>
      <c r="AH23" s="87" t="s">
        <v>450</v>
      </c>
      <c r="AI23" s="84">
        <v>9</v>
      </c>
    </row>
    <row r="24" spans="1:35" ht="15.75" thickBot="1">
      <c r="B24" s="40" t="s">
        <v>313</v>
      </c>
      <c r="C24" s="173">
        <v>38</v>
      </c>
      <c r="D24" s="174" t="s">
        <v>485</v>
      </c>
      <c r="E24" s="175" t="s">
        <v>465</v>
      </c>
      <c r="F24" s="174" t="s">
        <v>485</v>
      </c>
      <c r="G24" s="176">
        <v>1</v>
      </c>
      <c r="H24" s="1" t="s">
        <v>464</v>
      </c>
      <c r="I24" s="136"/>
      <c r="M24" t="str">
        <f t="shared" si="0"/>
        <v>3.3V!</v>
      </c>
      <c r="N24" s="182">
        <f t="shared" si="1"/>
        <v>1</v>
      </c>
      <c r="O24" s="183" t="str">
        <f t="shared" si="2"/>
        <v>19th</v>
      </c>
      <c r="P24" s="175" t="s">
        <v>465</v>
      </c>
      <c r="Q24" s="183" t="str">
        <f t="shared" si="3"/>
        <v>19th</v>
      </c>
      <c r="R24" s="184">
        <f t="shared" si="4"/>
        <v>38</v>
      </c>
      <c r="S24" t="str">
        <f t="shared" si="5"/>
        <v>GND</v>
      </c>
      <c r="AB24" s="186" t="s">
        <v>463</v>
      </c>
      <c r="AC24" s="180">
        <v>2</v>
      </c>
      <c r="AD24" t="s">
        <v>486</v>
      </c>
      <c r="AE24" s="336"/>
      <c r="AF24" t="s">
        <v>486</v>
      </c>
      <c r="AG24" s="181">
        <v>37</v>
      </c>
      <c r="AH24" s="87" t="s">
        <v>399</v>
      </c>
      <c r="AI24" s="84">
        <v>10</v>
      </c>
    </row>
    <row r="25" spans="1:35" ht="15.75" thickBot="1">
      <c r="AB25" s="186" t="s">
        <v>464</v>
      </c>
      <c r="AC25" s="182">
        <v>1</v>
      </c>
      <c r="AD25" s="183" t="s">
        <v>485</v>
      </c>
      <c r="AE25" s="175" t="s">
        <v>465</v>
      </c>
      <c r="AF25" s="183" t="s">
        <v>485</v>
      </c>
      <c r="AG25" s="184">
        <v>38</v>
      </c>
      <c r="AH25" s="186" t="s">
        <v>313</v>
      </c>
    </row>
    <row r="28" spans="1:35">
      <c r="W28" t="s">
        <v>606</v>
      </c>
      <c r="X28" t="s">
        <v>395</v>
      </c>
    </row>
    <row r="29" spans="1:35">
      <c r="W29" t="s">
        <v>607</v>
      </c>
      <c r="X29" t="s">
        <v>456</v>
      </c>
    </row>
    <row r="32" spans="1:35">
      <c r="AC32" s="185" t="s">
        <v>614</v>
      </c>
    </row>
    <row r="33" spans="29:29">
      <c r="AC33" s="189" t="s">
        <v>615</v>
      </c>
    </row>
  </sheetData>
  <sortState xmlns:xlrd2="http://schemas.microsoft.com/office/spreadsheetml/2017/richdata2" ref="J34:K48">
    <sortCondition ref="J34:J48"/>
  </sortState>
  <mergeCells count="3">
    <mergeCell ref="P8:P23"/>
    <mergeCell ref="E8:E22"/>
    <mergeCell ref="AE9:AE24"/>
  </mergeCells>
  <pageMargins left="0.7" right="0.7" top="0.75" bottom="0.75" header="0.3" footer="0.3"/>
  <pageSetup scale="7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C1004-2563-4030-A89D-2B9F1217CA83}">
  <dimension ref="A1:L30"/>
  <sheetViews>
    <sheetView topLeftCell="A6" workbookViewId="0">
      <selection activeCell="A3" sqref="A3"/>
    </sheetView>
  </sheetViews>
  <sheetFormatPr defaultRowHeight="15"/>
  <cols>
    <col min="2" max="2" width="11" bestFit="1" customWidth="1"/>
    <col min="3" max="3" width="10" bestFit="1" customWidth="1"/>
    <col min="5" max="5" width="4" customWidth="1"/>
    <col min="6" max="6" width="4.7109375" bestFit="1" customWidth="1"/>
  </cols>
  <sheetData>
    <row r="1" spans="1:12">
      <c r="A1" t="s">
        <v>660</v>
      </c>
    </row>
    <row r="2" spans="1:12">
      <c r="A2" s="236">
        <v>46082</v>
      </c>
    </row>
    <row r="5" spans="1:12" ht="67.5" customHeight="1">
      <c r="E5" s="230" t="s">
        <v>40</v>
      </c>
      <c r="F5" s="230" t="s">
        <v>40</v>
      </c>
    </row>
    <row r="6" spans="1:12" ht="67.5" customHeight="1">
      <c r="E6" s="231" t="s">
        <v>43</v>
      </c>
      <c r="F6" s="231" t="s">
        <v>43</v>
      </c>
    </row>
    <row r="7" spans="1:12" ht="67.5" customHeight="1">
      <c r="D7" t="s">
        <v>540</v>
      </c>
      <c r="E7" s="233" t="s">
        <v>397</v>
      </c>
      <c r="F7" s="235" t="s">
        <v>396</v>
      </c>
      <c r="G7" t="s">
        <v>591</v>
      </c>
    </row>
    <row r="11" spans="1:12">
      <c r="G11" s="137" t="s">
        <v>434</v>
      </c>
      <c r="H11" s="2"/>
    </row>
    <row r="12" spans="1:12">
      <c r="C12" s="136" t="s">
        <v>525</v>
      </c>
      <c r="D12" s="109" t="s">
        <v>437</v>
      </c>
      <c r="E12" s="116">
        <v>20</v>
      </c>
      <c r="F12" s="106" t="s">
        <v>468</v>
      </c>
      <c r="G12" s="104"/>
      <c r="H12" s="106" t="s">
        <v>468</v>
      </c>
      <c r="I12" s="115">
        <v>19</v>
      </c>
      <c r="J12" s="103" t="s">
        <v>451</v>
      </c>
      <c r="K12" s="136"/>
    </row>
    <row r="13" spans="1:12">
      <c r="C13" s="136" t="s">
        <v>526</v>
      </c>
      <c r="D13" s="109" t="s">
        <v>438</v>
      </c>
      <c r="E13" s="116">
        <v>21</v>
      </c>
      <c r="F13" s="92" t="s">
        <v>469</v>
      </c>
      <c r="G13" s="2"/>
      <c r="H13" s="92" t="s">
        <v>469</v>
      </c>
      <c r="I13" s="115">
        <v>18</v>
      </c>
      <c r="J13" s="112" t="s">
        <v>452</v>
      </c>
      <c r="K13" s="136" t="s">
        <v>518</v>
      </c>
    </row>
    <row r="14" spans="1:12">
      <c r="C14" s="136" t="s">
        <v>527</v>
      </c>
      <c r="D14" s="109" t="s">
        <v>439</v>
      </c>
      <c r="E14" s="116">
        <v>22</v>
      </c>
      <c r="F14" s="92" t="s">
        <v>470</v>
      </c>
      <c r="G14" s="2"/>
      <c r="H14" s="92" t="s">
        <v>470</v>
      </c>
      <c r="I14" s="115">
        <v>17</v>
      </c>
      <c r="J14" s="112" t="s">
        <v>453</v>
      </c>
      <c r="K14" s="136" t="s">
        <v>520</v>
      </c>
    </row>
    <row r="15" spans="1:12">
      <c r="C15" s="136" t="s">
        <v>528</v>
      </c>
      <c r="D15" s="111" t="s">
        <v>440</v>
      </c>
      <c r="E15" s="116">
        <v>23</v>
      </c>
      <c r="F15" s="92" t="s">
        <v>471</v>
      </c>
      <c r="G15" s="2"/>
      <c r="H15" s="92" t="s">
        <v>471</v>
      </c>
      <c r="I15" s="115">
        <v>16</v>
      </c>
      <c r="J15" s="129" t="s">
        <v>454</v>
      </c>
      <c r="K15" s="136" t="s">
        <v>522</v>
      </c>
      <c r="L15" s="1"/>
    </row>
    <row r="16" spans="1:12" ht="24" customHeight="1">
      <c r="C16" s="136" t="s">
        <v>529</v>
      </c>
      <c r="D16" s="109" t="s">
        <v>441</v>
      </c>
      <c r="E16" s="116">
        <v>24</v>
      </c>
      <c r="F16" s="92" t="s">
        <v>472</v>
      </c>
      <c r="G16" s="338" t="s">
        <v>608</v>
      </c>
      <c r="H16" s="92" t="s">
        <v>472</v>
      </c>
      <c r="I16" s="115">
        <v>15</v>
      </c>
      <c r="J16" s="130" t="s">
        <v>394</v>
      </c>
      <c r="K16" s="153" t="s">
        <v>523</v>
      </c>
    </row>
    <row r="17" spans="3:12">
      <c r="C17" s="136" t="s">
        <v>519</v>
      </c>
      <c r="D17" s="109" t="s">
        <v>442</v>
      </c>
      <c r="E17" s="116">
        <v>25</v>
      </c>
      <c r="F17" s="92" t="s">
        <v>473</v>
      </c>
      <c r="G17" s="338"/>
      <c r="H17" s="92" t="s">
        <v>473</v>
      </c>
      <c r="I17" s="115">
        <v>14</v>
      </c>
      <c r="J17" s="103" t="s">
        <v>313</v>
      </c>
      <c r="K17" s="136"/>
    </row>
    <row r="18" spans="3:12">
      <c r="C18" s="150" t="s">
        <v>530</v>
      </c>
      <c r="D18" s="127" t="s">
        <v>443</v>
      </c>
      <c r="E18" s="116">
        <v>26</v>
      </c>
      <c r="F18" s="92" t="s">
        <v>474</v>
      </c>
      <c r="G18" s="338"/>
      <c r="H18" s="92" t="s">
        <v>474</v>
      </c>
      <c r="I18" s="115">
        <v>13</v>
      </c>
      <c r="J18" s="131" t="s">
        <v>395</v>
      </c>
      <c r="K18" s="136" t="s">
        <v>524</v>
      </c>
      <c r="L18" s="1" t="s">
        <v>659</v>
      </c>
    </row>
    <row r="19" spans="3:12">
      <c r="C19" s="151" t="s">
        <v>531</v>
      </c>
      <c r="D19" s="149" t="s">
        <v>387</v>
      </c>
      <c r="E19" s="116">
        <v>27</v>
      </c>
      <c r="F19" s="92" t="s">
        <v>475</v>
      </c>
      <c r="G19" s="338"/>
      <c r="H19" s="92" t="s">
        <v>475</v>
      </c>
      <c r="I19" s="115">
        <v>12</v>
      </c>
      <c r="J19" s="132" t="s">
        <v>396</v>
      </c>
      <c r="K19" s="136" t="s">
        <v>517</v>
      </c>
      <c r="L19" s="232" t="s">
        <v>658</v>
      </c>
    </row>
    <row r="20" spans="3:12">
      <c r="C20" s="152" t="s">
        <v>521</v>
      </c>
      <c r="D20" s="148" t="s">
        <v>444</v>
      </c>
      <c r="E20" s="116">
        <v>28</v>
      </c>
      <c r="F20" s="92" t="s">
        <v>476</v>
      </c>
      <c r="G20" s="338"/>
      <c r="H20" s="92" t="s">
        <v>476</v>
      </c>
      <c r="I20" s="115">
        <v>11</v>
      </c>
      <c r="J20" s="133" t="s">
        <v>397</v>
      </c>
      <c r="K20" s="136" t="s">
        <v>516</v>
      </c>
      <c r="L20" s="234" t="s">
        <v>540</v>
      </c>
    </row>
    <row r="21" spans="3:12">
      <c r="C21" s="150" t="s">
        <v>532</v>
      </c>
      <c r="D21" s="127" t="s">
        <v>445</v>
      </c>
      <c r="E21" s="116">
        <v>29</v>
      </c>
      <c r="F21" s="92" t="s">
        <v>477</v>
      </c>
      <c r="G21" s="338"/>
      <c r="H21" s="92" t="s">
        <v>477</v>
      </c>
      <c r="I21" s="115">
        <v>10</v>
      </c>
      <c r="J21" s="133" t="s">
        <v>455</v>
      </c>
      <c r="K21" s="136" t="s">
        <v>515</v>
      </c>
      <c r="L21" s="1" t="s">
        <v>657</v>
      </c>
    </row>
    <row r="22" spans="3:12">
      <c r="C22" s="151" t="s">
        <v>533</v>
      </c>
      <c r="D22" s="149" t="s">
        <v>398</v>
      </c>
      <c r="E22" s="116">
        <v>30</v>
      </c>
      <c r="F22" s="92" t="s">
        <v>478</v>
      </c>
      <c r="G22" s="338"/>
      <c r="H22" s="92" t="s">
        <v>478</v>
      </c>
      <c r="I22" s="115">
        <v>9</v>
      </c>
      <c r="J22" s="133" t="s">
        <v>456</v>
      </c>
      <c r="K22" s="136" t="s">
        <v>514</v>
      </c>
    </row>
    <row r="23" spans="3:12">
      <c r="C23" s="136" t="s">
        <v>534</v>
      </c>
      <c r="D23" s="111" t="s">
        <v>446</v>
      </c>
      <c r="E23" s="116">
        <v>31</v>
      </c>
      <c r="F23" s="92" t="s">
        <v>479</v>
      </c>
      <c r="G23" s="338"/>
      <c r="H23" s="92" t="s">
        <v>479</v>
      </c>
      <c r="I23" s="115">
        <v>8</v>
      </c>
      <c r="J23" s="134" t="s">
        <v>457</v>
      </c>
      <c r="K23" s="136" t="s">
        <v>513</v>
      </c>
      <c r="L23" s="1"/>
    </row>
    <row r="24" spans="3:12">
      <c r="C24" s="136"/>
      <c r="D24" s="102" t="s">
        <v>313</v>
      </c>
      <c r="E24" s="116">
        <v>32</v>
      </c>
      <c r="F24" s="92" t="s">
        <v>480</v>
      </c>
      <c r="G24" s="338"/>
      <c r="H24" s="92" t="s">
        <v>480</v>
      </c>
      <c r="I24" s="115">
        <v>7</v>
      </c>
      <c r="J24" s="134" t="s">
        <v>458</v>
      </c>
      <c r="K24" s="136" t="s">
        <v>512</v>
      </c>
      <c r="L24" s="1"/>
    </row>
    <row r="25" spans="3:12">
      <c r="C25" s="136" t="s">
        <v>498</v>
      </c>
      <c r="D25" s="113" t="s">
        <v>447</v>
      </c>
      <c r="E25" s="146">
        <v>33</v>
      </c>
      <c r="F25" s="92" t="s">
        <v>481</v>
      </c>
      <c r="G25" s="338"/>
      <c r="H25" s="92" t="s">
        <v>481</v>
      </c>
      <c r="I25" s="115">
        <v>6</v>
      </c>
      <c r="J25" s="134" t="s">
        <v>459</v>
      </c>
      <c r="K25" s="136" t="s">
        <v>511</v>
      </c>
      <c r="L25" s="1"/>
    </row>
    <row r="26" spans="3:12">
      <c r="C26" s="136" t="s">
        <v>535</v>
      </c>
      <c r="D26" s="109" t="s">
        <v>448</v>
      </c>
      <c r="E26" s="146">
        <v>34</v>
      </c>
      <c r="F26" s="92" t="s">
        <v>482</v>
      </c>
      <c r="G26" s="338"/>
      <c r="H26" s="92" t="s">
        <v>482</v>
      </c>
      <c r="I26" s="115">
        <v>5</v>
      </c>
      <c r="J26" s="134" t="s">
        <v>460</v>
      </c>
      <c r="K26" s="136" t="s">
        <v>510</v>
      </c>
      <c r="L26" s="1"/>
    </row>
    <row r="27" spans="3:12">
      <c r="C27" s="136" t="s">
        <v>536</v>
      </c>
      <c r="D27" s="109" t="s">
        <v>449</v>
      </c>
      <c r="E27" s="147">
        <v>35</v>
      </c>
      <c r="F27" s="92" t="s">
        <v>483</v>
      </c>
      <c r="G27" s="2"/>
      <c r="H27" s="92" t="s">
        <v>483</v>
      </c>
      <c r="I27" s="115">
        <v>4</v>
      </c>
      <c r="J27" s="134" t="s">
        <v>461</v>
      </c>
      <c r="K27" s="136" t="s">
        <v>509</v>
      </c>
      <c r="L27" s="1"/>
    </row>
    <row r="28" spans="3:12">
      <c r="C28" s="136" t="s">
        <v>537</v>
      </c>
      <c r="D28" s="113" t="s">
        <v>450</v>
      </c>
      <c r="E28" s="146">
        <v>36</v>
      </c>
      <c r="F28" s="92" t="s">
        <v>484</v>
      </c>
      <c r="G28" s="2"/>
      <c r="H28" s="92" t="s">
        <v>484</v>
      </c>
      <c r="I28" s="115">
        <v>3</v>
      </c>
      <c r="J28" s="135" t="s">
        <v>462</v>
      </c>
      <c r="K28" s="136" t="s">
        <v>508</v>
      </c>
      <c r="L28" s="1"/>
    </row>
    <row r="29" spans="3:12">
      <c r="C29" s="136" t="s">
        <v>538</v>
      </c>
      <c r="D29" s="113" t="s">
        <v>399</v>
      </c>
      <c r="E29" s="146">
        <v>37</v>
      </c>
      <c r="F29" s="92" t="s">
        <v>486</v>
      </c>
      <c r="G29" s="2"/>
      <c r="H29" s="92" t="s">
        <v>486</v>
      </c>
      <c r="I29" s="115">
        <v>2</v>
      </c>
      <c r="J29" s="1" t="s">
        <v>463</v>
      </c>
      <c r="K29" s="136"/>
    </row>
    <row r="30" spans="3:12">
      <c r="C30" s="136"/>
      <c r="D30" s="102" t="s">
        <v>313</v>
      </c>
      <c r="E30" s="116">
        <v>38</v>
      </c>
      <c r="F30" s="107" t="s">
        <v>485</v>
      </c>
      <c r="G30" s="105" t="s">
        <v>465</v>
      </c>
      <c r="H30" s="107" t="s">
        <v>485</v>
      </c>
      <c r="I30" s="115">
        <v>1</v>
      </c>
      <c r="J30" s="103" t="s">
        <v>464</v>
      </c>
      <c r="K30" s="136"/>
    </row>
  </sheetData>
  <mergeCells count="1">
    <mergeCell ref="G16:G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18290-5455-410E-B109-7C583A394D9C}">
  <dimension ref="A1:AA33"/>
  <sheetViews>
    <sheetView topLeftCell="C9" zoomScale="145" zoomScaleNormal="145" workbookViewId="0">
      <selection activeCell="Z24" sqref="Z24"/>
    </sheetView>
  </sheetViews>
  <sheetFormatPr defaultRowHeight="15"/>
  <cols>
    <col min="2" max="2" width="15.85546875" customWidth="1"/>
    <col min="3" max="3" width="3.140625" customWidth="1"/>
    <col min="4" max="4" width="3.28515625" bestFit="1" customWidth="1"/>
    <col min="5" max="5" width="10.5703125" customWidth="1"/>
    <col min="6" max="6" width="3.85546875" bestFit="1" customWidth="1"/>
    <col min="9" max="9" width="3" bestFit="1" customWidth="1"/>
    <col min="12" max="12" width="4" bestFit="1" customWidth="1"/>
    <col min="13" max="13" width="2.85546875" customWidth="1"/>
    <col min="14" max="14" width="3.28515625" bestFit="1" customWidth="1"/>
    <col min="15" max="15" width="12.7109375" customWidth="1"/>
    <col min="16" max="16" width="3.85546875" bestFit="1" customWidth="1"/>
    <col min="17" max="17" width="8.85546875" bestFit="1" customWidth="1"/>
    <col min="18" max="18" width="8.28515625" bestFit="1" customWidth="1"/>
    <col min="20" max="20" width="4" bestFit="1" customWidth="1"/>
    <col min="21" max="21" width="7.7109375" bestFit="1" customWidth="1"/>
    <col min="22" max="22" width="3.28515625" bestFit="1" customWidth="1"/>
    <col min="23" max="23" width="7.42578125" bestFit="1" customWidth="1"/>
    <col min="24" max="24" width="3.85546875" bestFit="1" customWidth="1"/>
    <col min="25" max="25" width="8.85546875" bestFit="1" customWidth="1"/>
    <col min="26" max="26" width="8.28515625" bestFit="1" customWidth="1"/>
  </cols>
  <sheetData>
    <row r="1" spans="1:27">
      <c r="A1" t="s">
        <v>320</v>
      </c>
    </row>
    <row r="2" spans="1:27">
      <c r="A2" t="s">
        <v>539</v>
      </c>
    </row>
    <row r="3" spans="1:27" ht="6.75" customHeight="1"/>
    <row r="4" spans="1:27" ht="6.75" customHeight="1"/>
    <row r="5" spans="1:27" ht="6.75" customHeight="1"/>
    <row r="6" spans="1:27" ht="6.75" customHeight="1"/>
    <row r="7" spans="1:27" ht="17.25" customHeight="1">
      <c r="C7" t="s">
        <v>662</v>
      </c>
      <c r="M7" t="s">
        <v>663</v>
      </c>
      <c r="Y7" t="s">
        <v>664</v>
      </c>
    </row>
    <row r="8" spans="1:27" ht="31.5" customHeight="1">
      <c r="B8" s="342" t="s">
        <v>591</v>
      </c>
      <c r="C8" s="253" t="s">
        <v>40</v>
      </c>
      <c r="D8" s="253" t="s">
        <v>40</v>
      </c>
      <c r="E8" s="343" t="s">
        <v>540</v>
      </c>
      <c r="F8" s="237"/>
      <c r="G8" s="237"/>
      <c r="H8" s="237"/>
      <c r="L8" s="339" t="s">
        <v>540</v>
      </c>
      <c r="M8" s="253" t="s">
        <v>40</v>
      </c>
      <c r="N8" s="253" t="s">
        <v>40</v>
      </c>
      <c r="O8" s="340" t="s">
        <v>591</v>
      </c>
      <c r="P8" s="237"/>
      <c r="Q8" s="237"/>
      <c r="R8" s="237"/>
      <c r="X8" s="339" t="s">
        <v>540</v>
      </c>
      <c r="Y8" s="253" t="s">
        <v>40</v>
      </c>
      <c r="Z8" s="253" t="s">
        <v>40</v>
      </c>
      <c r="AA8" s="340" t="s">
        <v>591</v>
      </c>
    </row>
    <row r="9" spans="1:27" ht="31.5" customHeight="1">
      <c r="B9" s="342"/>
      <c r="C9" s="238" t="s">
        <v>43</v>
      </c>
      <c r="D9" s="238" t="s">
        <v>43</v>
      </c>
      <c r="E9" s="343"/>
      <c r="F9" s="237"/>
      <c r="G9" s="237"/>
      <c r="H9" s="237"/>
      <c r="L9" s="339"/>
      <c r="M9" s="238" t="s">
        <v>43</v>
      </c>
      <c r="N9" s="238" t="s">
        <v>43</v>
      </c>
      <c r="O9" s="340"/>
      <c r="P9" s="237"/>
      <c r="Q9" s="237"/>
      <c r="R9" s="237"/>
      <c r="X9" s="339"/>
      <c r="Y9" s="238" t="s">
        <v>43</v>
      </c>
      <c r="Z9" s="238" t="s">
        <v>43</v>
      </c>
      <c r="AA9" s="340"/>
    </row>
    <row r="10" spans="1:27" ht="31.5">
      <c r="B10" s="342"/>
      <c r="C10" s="239" t="s">
        <v>397</v>
      </c>
      <c r="D10" s="239" t="s">
        <v>396</v>
      </c>
      <c r="E10" s="343"/>
      <c r="F10" s="237"/>
      <c r="G10" s="237"/>
      <c r="H10" s="237"/>
      <c r="L10" s="339"/>
      <c r="M10" s="239" t="s">
        <v>397</v>
      </c>
      <c r="N10" s="239" t="s">
        <v>396</v>
      </c>
      <c r="O10" s="340"/>
      <c r="P10" s="237"/>
      <c r="Q10" s="237"/>
      <c r="R10" s="237"/>
      <c r="X10" s="339"/>
      <c r="Y10" s="239" t="s">
        <v>397</v>
      </c>
      <c r="Z10" s="239" t="s">
        <v>396</v>
      </c>
      <c r="AA10" s="340"/>
    </row>
    <row r="11" spans="1:27">
      <c r="B11" s="237"/>
      <c r="C11" s="237"/>
      <c r="D11" s="237"/>
      <c r="E11" s="237"/>
      <c r="F11" s="237"/>
      <c r="G11" s="237"/>
      <c r="H11" s="237"/>
      <c r="L11" s="237"/>
      <c r="M11" s="237"/>
      <c r="N11" s="237"/>
      <c r="O11" s="237"/>
      <c r="P11" s="237"/>
      <c r="Q11" s="237"/>
      <c r="R11" s="237"/>
      <c r="T11" s="237"/>
      <c r="U11" s="237"/>
      <c r="V11" s="237"/>
      <c r="W11" s="237"/>
      <c r="X11" s="237"/>
      <c r="Y11" s="237"/>
      <c r="Z11" s="237"/>
    </row>
    <row r="12" spans="1:27">
      <c r="B12" s="237"/>
      <c r="C12" s="237"/>
      <c r="D12" s="237"/>
      <c r="E12" s="237"/>
      <c r="F12" s="237"/>
      <c r="G12" s="237"/>
      <c r="H12" s="237"/>
      <c r="L12" s="237"/>
      <c r="M12" s="237"/>
      <c r="N12" s="237"/>
      <c r="O12" s="237"/>
      <c r="P12" s="237"/>
      <c r="Q12" s="237"/>
      <c r="R12" s="237"/>
      <c r="T12" s="237"/>
      <c r="U12" s="237"/>
      <c r="V12" s="237"/>
      <c r="W12" s="237"/>
      <c r="X12" s="237"/>
      <c r="Y12" s="237"/>
      <c r="Z12" s="237"/>
    </row>
    <row r="13" spans="1:27">
      <c r="B13" s="237"/>
      <c r="C13" s="237"/>
      <c r="D13" s="237"/>
      <c r="E13" s="240" t="s">
        <v>434</v>
      </c>
      <c r="F13" s="237"/>
      <c r="G13" s="237"/>
      <c r="H13" s="237"/>
      <c r="L13" s="237"/>
      <c r="M13" s="237"/>
      <c r="N13" s="237"/>
      <c r="O13" s="240" t="s">
        <v>434</v>
      </c>
      <c r="P13" s="237"/>
      <c r="Q13" s="237"/>
      <c r="R13" s="237"/>
      <c r="T13" s="237"/>
      <c r="U13" s="237"/>
      <c r="V13" s="237"/>
      <c r="W13" s="240" t="s">
        <v>434</v>
      </c>
      <c r="X13" s="237"/>
      <c r="Y13" s="237"/>
      <c r="Z13" s="237"/>
    </row>
    <row r="14" spans="1:27">
      <c r="B14" s="237"/>
      <c r="C14" s="241" t="s">
        <v>437</v>
      </c>
      <c r="D14" s="242">
        <v>20</v>
      </c>
      <c r="E14" s="240"/>
      <c r="F14" s="243">
        <v>19</v>
      </c>
      <c r="G14" s="237" t="s">
        <v>451</v>
      </c>
      <c r="H14" s="237"/>
      <c r="L14" s="237"/>
      <c r="M14" s="241" t="s">
        <v>437</v>
      </c>
      <c r="N14" s="242">
        <v>20</v>
      </c>
      <c r="O14" s="240"/>
      <c r="P14" s="243">
        <v>19</v>
      </c>
      <c r="Q14" s="237" t="s">
        <v>451</v>
      </c>
      <c r="R14" s="237"/>
      <c r="T14" s="237"/>
      <c r="U14" s="241" t="s">
        <v>437</v>
      </c>
      <c r="V14" s="242">
        <v>20</v>
      </c>
      <c r="W14" s="240"/>
      <c r="X14" s="243">
        <v>19</v>
      </c>
      <c r="Y14" s="237" t="s">
        <v>451</v>
      </c>
      <c r="Z14" s="237"/>
    </row>
    <row r="15" spans="1:27">
      <c r="B15" s="237"/>
      <c r="C15" s="241" t="s">
        <v>438</v>
      </c>
      <c r="D15" s="244">
        <v>21</v>
      </c>
      <c r="E15" s="245"/>
      <c r="F15" s="246">
        <v>18</v>
      </c>
      <c r="G15" s="237" t="s">
        <v>452</v>
      </c>
      <c r="H15" s="237"/>
      <c r="L15" s="237"/>
      <c r="M15" s="241" t="s">
        <v>438</v>
      </c>
      <c r="N15" s="244">
        <v>21</v>
      </c>
      <c r="O15" s="245"/>
      <c r="P15" s="246">
        <v>18</v>
      </c>
      <c r="Q15" s="237" t="s">
        <v>452</v>
      </c>
      <c r="R15" s="237"/>
      <c r="T15" s="237"/>
      <c r="U15" s="241" t="s">
        <v>438</v>
      </c>
      <c r="V15" s="244">
        <v>21</v>
      </c>
      <c r="W15" s="245"/>
      <c r="X15" s="246">
        <v>18</v>
      </c>
      <c r="Y15" s="237" t="s">
        <v>452</v>
      </c>
      <c r="Z15" s="237"/>
    </row>
    <row r="16" spans="1:27">
      <c r="B16" s="237"/>
      <c r="C16" s="241" t="s">
        <v>439</v>
      </c>
      <c r="D16" s="244">
        <v>22</v>
      </c>
      <c r="E16" s="245"/>
      <c r="F16" s="246">
        <v>17</v>
      </c>
      <c r="G16" s="237" t="s">
        <v>453</v>
      </c>
      <c r="H16" s="237"/>
      <c r="L16" s="237"/>
      <c r="M16" s="241" t="s">
        <v>439</v>
      </c>
      <c r="N16" s="244">
        <v>22</v>
      </c>
      <c r="O16" s="245"/>
      <c r="P16" s="246">
        <v>17</v>
      </c>
      <c r="Q16" s="237" t="s">
        <v>453</v>
      </c>
      <c r="R16" s="237"/>
      <c r="T16" s="237"/>
      <c r="U16" s="241" t="s">
        <v>439</v>
      </c>
      <c r="V16" s="244">
        <v>22</v>
      </c>
      <c r="W16" s="245"/>
      <c r="X16" s="246">
        <v>17</v>
      </c>
      <c r="Y16" s="237" t="s">
        <v>453</v>
      </c>
      <c r="Z16" s="237"/>
    </row>
    <row r="17" spans="2:26" ht="15" customHeight="1">
      <c r="B17" s="237"/>
      <c r="C17" s="241" t="s">
        <v>440</v>
      </c>
      <c r="D17" s="244">
        <v>23</v>
      </c>
      <c r="E17" s="341" t="s">
        <v>661</v>
      </c>
      <c r="F17" s="246">
        <v>16</v>
      </c>
      <c r="G17" s="237" t="s">
        <v>454</v>
      </c>
      <c r="H17" s="237"/>
      <c r="L17" s="237"/>
      <c r="M17" s="241" t="s">
        <v>440</v>
      </c>
      <c r="N17" s="244">
        <v>23</v>
      </c>
      <c r="O17" s="341" t="s">
        <v>661</v>
      </c>
      <c r="P17" s="246">
        <v>16</v>
      </c>
      <c r="Q17" s="237" t="s">
        <v>454</v>
      </c>
      <c r="R17" s="237"/>
      <c r="T17" s="237"/>
      <c r="U17" s="241" t="s">
        <v>440</v>
      </c>
      <c r="V17" s="244">
        <v>23</v>
      </c>
      <c r="W17" s="341" t="s">
        <v>661</v>
      </c>
      <c r="X17" s="246">
        <v>16</v>
      </c>
      <c r="Y17" s="237" t="s">
        <v>454</v>
      </c>
      <c r="Z17" s="237"/>
    </row>
    <row r="18" spans="2:26">
      <c r="B18" s="237"/>
      <c r="C18" s="241" t="s">
        <v>441</v>
      </c>
      <c r="D18" s="244">
        <v>24</v>
      </c>
      <c r="E18" s="341"/>
      <c r="F18" s="246">
        <v>15</v>
      </c>
      <c r="G18" s="237" t="s">
        <v>394</v>
      </c>
      <c r="H18" s="237"/>
      <c r="L18" s="237"/>
      <c r="M18" s="241" t="s">
        <v>441</v>
      </c>
      <c r="N18" s="244">
        <v>24</v>
      </c>
      <c r="O18" s="341"/>
      <c r="P18" s="246">
        <v>15</v>
      </c>
      <c r="Q18" s="237" t="s">
        <v>394</v>
      </c>
      <c r="R18" s="237"/>
      <c r="T18" s="237"/>
      <c r="U18" s="241" t="s">
        <v>441</v>
      </c>
      <c r="V18" s="244">
        <v>24</v>
      </c>
      <c r="W18" s="341"/>
      <c r="X18" s="246">
        <v>15</v>
      </c>
      <c r="Y18" s="237" t="s">
        <v>394</v>
      </c>
      <c r="Z18" s="237"/>
    </row>
    <row r="19" spans="2:26">
      <c r="B19" s="237"/>
      <c r="C19" s="241" t="s">
        <v>442</v>
      </c>
      <c r="D19" s="244">
        <v>25</v>
      </c>
      <c r="E19" s="341"/>
      <c r="F19" s="246">
        <v>14</v>
      </c>
      <c r="G19" s="237" t="s">
        <v>313</v>
      </c>
      <c r="H19" s="237"/>
      <c r="L19" s="237"/>
      <c r="M19" s="241" t="s">
        <v>442</v>
      </c>
      <c r="N19" s="244">
        <v>25</v>
      </c>
      <c r="O19" s="341"/>
      <c r="P19" s="246">
        <v>14</v>
      </c>
      <c r="Q19" s="237" t="s">
        <v>313</v>
      </c>
      <c r="R19" s="237"/>
      <c r="T19" s="237"/>
      <c r="U19" s="241" t="s">
        <v>442</v>
      </c>
      <c r="V19" s="244">
        <v>25</v>
      </c>
      <c r="W19" s="341"/>
      <c r="X19" s="246">
        <v>14</v>
      </c>
      <c r="Y19" s="237" t="s">
        <v>313</v>
      </c>
      <c r="Z19" s="237"/>
    </row>
    <row r="20" spans="2:26">
      <c r="B20" s="237"/>
      <c r="C20" s="241" t="s">
        <v>443</v>
      </c>
      <c r="D20" s="244">
        <v>26</v>
      </c>
      <c r="E20" s="341"/>
      <c r="F20" s="250">
        <v>13</v>
      </c>
      <c r="G20" s="251" t="s">
        <v>395</v>
      </c>
      <c r="H20" s="251" t="s">
        <v>659</v>
      </c>
      <c r="L20" s="237"/>
      <c r="M20" s="241" t="s">
        <v>443</v>
      </c>
      <c r="N20" s="244">
        <v>26</v>
      </c>
      <c r="O20" s="341"/>
      <c r="P20" s="250">
        <v>13</v>
      </c>
      <c r="Q20" s="251" t="s">
        <v>395</v>
      </c>
      <c r="R20" s="251" t="s">
        <v>659</v>
      </c>
      <c r="T20" s="237"/>
      <c r="U20" s="241" t="s">
        <v>443</v>
      </c>
      <c r="V20" s="244">
        <v>26</v>
      </c>
      <c r="W20" s="341"/>
      <c r="X20" s="250">
        <v>13</v>
      </c>
      <c r="Y20" s="251" t="s">
        <v>395</v>
      </c>
    </row>
    <row r="21" spans="2:26">
      <c r="B21" s="237"/>
      <c r="C21" s="241" t="s">
        <v>387</v>
      </c>
      <c r="D21" s="244">
        <v>27</v>
      </c>
      <c r="E21" s="341"/>
      <c r="F21" s="246">
        <v>12</v>
      </c>
      <c r="G21" s="237" t="s">
        <v>396</v>
      </c>
      <c r="H21" s="237" t="s">
        <v>540</v>
      </c>
      <c r="L21" s="237"/>
      <c r="M21" s="241" t="s">
        <v>387</v>
      </c>
      <c r="N21" s="244">
        <v>27</v>
      </c>
      <c r="O21" s="341"/>
      <c r="P21" s="246">
        <v>12</v>
      </c>
      <c r="Q21" s="237" t="s">
        <v>396</v>
      </c>
      <c r="R21" s="237" t="s">
        <v>658</v>
      </c>
      <c r="T21" s="237"/>
      <c r="U21" s="241" t="s">
        <v>387</v>
      </c>
      <c r="V21" s="244">
        <v>27</v>
      </c>
      <c r="W21" s="341"/>
      <c r="X21" s="246">
        <v>12</v>
      </c>
      <c r="Y21" s="237" t="s">
        <v>396</v>
      </c>
      <c r="Z21" s="237" t="s">
        <v>658</v>
      </c>
    </row>
    <row r="22" spans="2:26">
      <c r="B22" s="237"/>
      <c r="C22" s="241" t="s">
        <v>444</v>
      </c>
      <c r="D22" s="244">
        <v>28</v>
      </c>
      <c r="E22" s="341"/>
      <c r="F22" s="246">
        <v>11</v>
      </c>
      <c r="G22" s="237" t="s">
        <v>397</v>
      </c>
      <c r="H22" s="237" t="s">
        <v>658</v>
      </c>
      <c r="L22" s="237"/>
      <c r="M22" s="241" t="s">
        <v>444</v>
      </c>
      <c r="N22" s="244">
        <v>28</v>
      </c>
      <c r="O22" s="341"/>
      <c r="P22" s="246">
        <v>11</v>
      </c>
      <c r="Q22" s="237" t="s">
        <v>397</v>
      </c>
      <c r="R22" s="237" t="s">
        <v>540</v>
      </c>
      <c r="T22" s="237"/>
      <c r="U22" s="241" t="s">
        <v>444</v>
      </c>
      <c r="V22" s="244">
        <v>28</v>
      </c>
      <c r="W22" s="341"/>
      <c r="X22" s="246">
        <v>11</v>
      </c>
      <c r="Y22" s="237" t="s">
        <v>397</v>
      </c>
    </row>
    <row r="23" spans="2:26">
      <c r="B23" s="237"/>
      <c r="C23" s="241" t="s">
        <v>445</v>
      </c>
      <c r="D23" s="244">
        <v>29</v>
      </c>
      <c r="E23" s="341"/>
      <c r="F23" s="250">
        <v>10</v>
      </c>
      <c r="G23" s="251" t="s">
        <v>455</v>
      </c>
      <c r="H23" s="251" t="s">
        <v>657</v>
      </c>
      <c r="L23" s="237"/>
      <c r="M23" s="241" t="s">
        <v>445</v>
      </c>
      <c r="N23" s="244">
        <v>29</v>
      </c>
      <c r="O23" s="341"/>
      <c r="P23" s="250">
        <v>10</v>
      </c>
      <c r="Q23" s="251" t="s">
        <v>455</v>
      </c>
      <c r="R23" s="251" t="s">
        <v>657</v>
      </c>
      <c r="T23" s="237"/>
      <c r="U23" s="241" t="s">
        <v>445</v>
      </c>
      <c r="V23" s="244">
        <v>29</v>
      </c>
      <c r="W23" s="341"/>
      <c r="X23" s="250">
        <v>10</v>
      </c>
      <c r="Y23" s="251" t="s">
        <v>455</v>
      </c>
      <c r="Z23" s="251" t="s">
        <v>657</v>
      </c>
    </row>
    <row r="24" spans="2:26">
      <c r="B24" s="237"/>
      <c r="C24" s="241" t="s">
        <v>398</v>
      </c>
      <c r="D24" s="244">
        <v>30</v>
      </c>
      <c r="E24" s="341"/>
      <c r="F24" s="246">
        <v>9</v>
      </c>
      <c r="G24" s="237" t="s">
        <v>456</v>
      </c>
      <c r="H24" s="237"/>
      <c r="L24" s="237"/>
      <c r="M24" s="241" t="s">
        <v>398</v>
      </c>
      <c r="N24" s="244">
        <v>30</v>
      </c>
      <c r="O24" s="341"/>
      <c r="P24" s="246">
        <v>9</v>
      </c>
      <c r="Q24" s="237" t="s">
        <v>456</v>
      </c>
      <c r="R24" s="237"/>
      <c r="T24" s="237"/>
      <c r="U24" s="241" t="s">
        <v>398</v>
      </c>
      <c r="V24" s="244">
        <v>30</v>
      </c>
      <c r="W24" s="341"/>
      <c r="X24" s="246">
        <v>9</v>
      </c>
      <c r="Y24" s="237" t="s">
        <v>456</v>
      </c>
      <c r="Z24" s="237" t="s">
        <v>540</v>
      </c>
    </row>
    <row r="25" spans="2:26">
      <c r="B25" s="237"/>
      <c r="C25" s="241" t="s">
        <v>446</v>
      </c>
      <c r="D25" s="244">
        <v>31</v>
      </c>
      <c r="E25" s="341"/>
      <c r="F25" s="246">
        <v>8</v>
      </c>
      <c r="G25" s="237" t="s">
        <v>457</v>
      </c>
      <c r="H25" s="237"/>
      <c r="L25" s="237"/>
      <c r="M25" s="241" t="s">
        <v>446</v>
      </c>
      <c r="N25" s="244">
        <v>31</v>
      </c>
      <c r="O25" s="341"/>
      <c r="P25" s="246">
        <v>8</v>
      </c>
      <c r="Q25" s="237" t="s">
        <v>457</v>
      </c>
      <c r="R25" s="237"/>
      <c r="T25" s="237"/>
      <c r="U25" s="241" t="s">
        <v>446</v>
      </c>
      <c r="V25" s="244">
        <v>31</v>
      </c>
      <c r="W25" s="341"/>
      <c r="X25" s="246">
        <v>8</v>
      </c>
      <c r="Y25" s="237" t="s">
        <v>457</v>
      </c>
      <c r="Z25" s="237"/>
    </row>
    <row r="26" spans="2:26">
      <c r="B26" s="237"/>
      <c r="C26" s="241" t="s">
        <v>313</v>
      </c>
      <c r="D26" s="244">
        <v>32</v>
      </c>
      <c r="E26" s="341"/>
      <c r="F26" s="246">
        <v>7</v>
      </c>
      <c r="G26" s="237" t="s">
        <v>458</v>
      </c>
      <c r="H26" s="237"/>
      <c r="L26" s="237"/>
      <c r="M26" s="241" t="s">
        <v>313</v>
      </c>
      <c r="N26" s="244">
        <v>32</v>
      </c>
      <c r="O26" s="341"/>
      <c r="P26" s="246">
        <v>7</v>
      </c>
      <c r="Q26" s="237" t="s">
        <v>458</v>
      </c>
      <c r="R26" s="237"/>
      <c r="T26" s="237"/>
      <c r="U26" s="241" t="s">
        <v>313</v>
      </c>
      <c r="V26" s="244">
        <v>32</v>
      </c>
      <c r="W26" s="341"/>
      <c r="X26" s="246">
        <v>7</v>
      </c>
      <c r="Y26" s="237" t="s">
        <v>458</v>
      </c>
      <c r="Z26" s="251" t="s">
        <v>659</v>
      </c>
    </row>
    <row r="27" spans="2:26">
      <c r="B27" s="237"/>
      <c r="C27" s="241" t="s">
        <v>447</v>
      </c>
      <c r="D27" s="244">
        <v>33</v>
      </c>
      <c r="E27" s="341"/>
      <c r="F27" s="246">
        <v>6</v>
      </c>
      <c r="G27" s="237" t="s">
        <v>459</v>
      </c>
      <c r="H27" s="237"/>
      <c r="L27" s="237"/>
      <c r="M27" s="241" t="s">
        <v>447</v>
      </c>
      <c r="N27" s="244">
        <v>33</v>
      </c>
      <c r="O27" s="341"/>
      <c r="P27" s="246">
        <v>6</v>
      </c>
      <c r="Q27" s="237" t="s">
        <v>459</v>
      </c>
      <c r="R27" s="237"/>
      <c r="T27" s="237"/>
      <c r="U27" s="241" t="s">
        <v>447</v>
      </c>
      <c r="V27" s="244">
        <v>33</v>
      </c>
      <c r="W27" s="341"/>
      <c r="X27" s="246">
        <v>6</v>
      </c>
      <c r="Y27" s="237" t="s">
        <v>459</v>
      </c>
      <c r="Z27" s="237"/>
    </row>
    <row r="28" spans="2:26">
      <c r="B28" s="237"/>
      <c r="C28" s="241" t="s">
        <v>448</v>
      </c>
      <c r="D28" s="244">
        <v>34</v>
      </c>
      <c r="E28" s="341"/>
      <c r="F28" s="246">
        <v>5</v>
      </c>
      <c r="G28" s="237" t="s">
        <v>460</v>
      </c>
      <c r="H28" s="237"/>
      <c r="L28" s="237"/>
      <c r="M28" s="241" t="s">
        <v>448</v>
      </c>
      <c r="N28" s="244">
        <v>34</v>
      </c>
      <c r="O28" s="341"/>
      <c r="P28" s="246">
        <v>5</v>
      </c>
      <c r="Q28" s="237" t="s">
        <v>460</v>
      </c>
      <c r="R28" s="237"/>
      <c r="T28" s="237"/>
      <c r="U28" s="241" t="s">
        <v>448</v>
      </c>
      <c r="V28" s="244">
        <v>34</v>
      </c>
      <c r="W28" s="341"/>
      <c r="X28" s="246">
        <v>5</v>
      </c>
      <c r="Y28" s="237" t="s">
        <v>460</v>
      </c>
      <c r="Z28" s="237"/>
    </row>
    <row r="29" spans="2:26">
      <c r="B29" s="237"/>
      <c r="C29" s="241" t="s">
        <v>449</v>
      </c>
      <c r="D29" s="244">
        <v>35</v>
      </c>
      <c r="E29" s="341"/>
      <c r="F29" s="246">
        <v>4</v>
      </c>
      <c r="G29" s="237" t="s">
        <v>461</v>
      </c>
      <c r="H29" s="237"/>
      <c r="L29" s="237"/>
      <c r="M29" s="241" t="s">
        <v>449</v>
      </c>
      <c r="N29" s="244">
        <v>35</v>
      </c>
      <c r="O29" s="341"/>
      <c r="P29" s="246">
        <v>4</v>
      </c>
      <c r="Q29" s="237" t="s">
        <v>461</v>
      </c>
      <c r="R29" s="237"/>
      <c r="T29" s="237"/>
      <c r="U29" s="241" t="s">
        <v>449</v>
      </c>
      <c r="V29" s="244">
        <v>35</v>
      </c>
      <c r="W29" s="341"/>
      <c r="X29" s="246">
        <v>4</v>
      </c>
      <c r="Y29" s="237" t="s">
        <v>461</v>
      </c>
      <c r="Z29" s="237"/>
    </row>
    <row r="30" spans="2:26">
      <c r="B30" s="237"/>
      <c r="C30" s="241" t="s">
        <v>450</v>
      </c>
      <c r="D30" s="244">
        <v>36</v>
      </c>
      <c r="E30" s="341"/>
      <c r="F30" s="246">
        <v>3</v>
      </c>
      <c r="G30" s="237" t="s">
        <v>462</v>
      </c>
      <c r="H30" s="237"/>
      <c r="L30" s="237"/>
      <c r="M30" s="241" t="s">
        <v>450</v>
      </c>
      <c r="N30" s="244">
        <v>36</v>
      </c>
      <c r="O30" s="341"/>
      <c r="P30" s="246">
        <v>3</v>
      </c>
      <c r="Q30" s="237" t="s">
        <v>462</v>
      </c>
      <c r="R30" s="237"/>
      <c r="T30" s="237"/>
      <c r="U30" s="241" t="s">
        <v>450</v>
      </c>
      <c r="V30" s="244">
        <v>36</v>
      </c>
      <c r="W30" s="341"/>
      <c r="X30" s="246">
        <v>3</v>
      </c>
      <c r="Y30" s="237" t="s">
        <v>462</v>
      </c>
      <c r="Z30" s="237"/>
    </row>
    <row r="31" spans="2:26">
      <c r="B31" s="237"/>
      <c r="C31" s="241" t="s">
        <v>399</v>
      </c>
      <c r="D31" s="244">
        <v>37</v>
      </c>
      <c r="E31" s="247"/>
      <c r="F31" s="246">
        <v>2</v>
      </c>
      <c r="G31" s="237" t="s">
        <v>463</v>
      </c>
      <c r="H31" s="237"/>
      <c r="L31" s="237"/>
      <c r="M31" s="241" t="s">
        <v>399</v>
      </c>
      <c r="N31" s="244">
        <v>37</v>
      </c>
      <c r="O31" s="247"/>
      <c r="P31" s="246">
        <v>2</v>
      </c>
      <c r="Q31" s="237" t="s">
        <v>463</v>
      </c>
      <c r="R31" s="237"/>
      <c r="T31" s="237"/>
      <c r="U31" s="241" t="s">
        <v>399</v>
      </c>
      <c r="V31" s="244">
        <v>37</v>
      </c>
      <c r="W31" s="247"/>
      <c r="X31" s="246">
        <v>2</v>
      </c>
      <c r="Y31" s="237" t="s">
        <v>463</v>
      </c>
      <c r="Z31" s="237"/>
    </row>
    <row r="32" spans="2:26">
      <c r="B32" s="237"/>
      <c r="C32" s="241" t="s">
        <v>313</v>
      </c>
      <c r="D32" s="248">
        <v>38</v>
      </c>
      <c r="E32" s="252" t="s">
        <v>465</v>
      </c>
      <c r="F32" s="249">
        <v>1</v>
      </c>
      <c r="G32" s="237" t="s">
        <v>464</v>
      </c>
      <c r="H32" s="237"/>
      <c r="L32" s="237"/>
      <c r="M32" s="241" t="s">
        <v>313</v>
      </c>
      <c r="N32" s="248">
        <v>38</v>
      </c>
      <c r="O32" s="252" t="s">
        <v>465</v>
      </c>
      <c r="P32" s="249">
        <v>1</v>
      </c>
      <c r="Q32" s="237" t="s">
        <v>464</v>
      </c>
      <c r="R32" s="237"/>
      <c r="T32" s="237"/>
      <c r="U32" s="241" t="s">
        <v>313</v>
      </c>
      <c r="V32" s="248">
        <v>38</v>
      </c>
      <c r="W32" s="252" t="s">
        <v>465</v>
      </c>
      <c r="X32" s="249">
        <v>1</v>
      </c>
      <c r="Y32" s="237" t="s">
        <v>464</v>
      </c>
      <c r="Z32" s="237"/>
    </row>
    <row r="33" spans="2:18">
      <c r="B33" s="237"/>
      <c r="C33" s="237"/>
      <c r="D33" s="237"/>
      <c r="E33" s="237"/>
      <c r="F33" s="237"/>
      <c r="G33" s="237"/>
      <c r="H33" s="237"/>
      <c r="L33" s="237"/>
      <c r="M33" s="237"/>
      <c r="N33" s="237"/>
      <c r="O33" s="237"/>
      <c r="P33" s="237"/>
      <c r="Q33" s="237"/>
      <c r="R33" s="237"/>
    </row>
  </sheetData>
  <mergeCells count="9">
    <mergeCell ref="X8:X10"/>
    <mergeCell ref="AA8:AA10"/>
    <mergeCell ref="W17:W30"/>
    <mergeCell ref="E17:E30"/>
    <mergeCell ref="B8:B10"/>
    <mergeCell ref="E8:E10"/>
    <mergeCell ref="L8:L10"/>
    <mergeCell ref="O8:O10"/>
    <mergeCell ref="O17:O30"/>
  </mergeCell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1F1F6-16FB-4248-92D5-16B3F410D36B}">
  <dimension ref="F4:M19"/>
  <sheetViews>
    <sheetView workbookViewId="0">
      <selection activeCell="N19" sqref="N19"/>
    </sheetView>
  </sheetViews>
  <sheetFormatPr defaultRowHeight="15"/>
  <cols>
    <col min="7" max="7" width="3" bestFit="1" customWidth="1"/>
    <col min="8" max="8" width="4.7109375" bestFit="1" customWidth="1"/>
    <col min="10" max="10" width="3.28515625" bestFit="1" customWidth="1"/>
    <col min="11" max="11" width="3" bestFit="1" customWidth="1"/>
    <col min="12" max="12" width="9" bestFit="1" customWidth="1"/>
  </cols>
  <sheetData>
    <row r="4" spans="6:13">
      <c r="I4" s="137" t="s">
        <v>434</v>
      </c>
      <c r="J4" s="2"/>
    </row>
    <row r="5" spans="6:13">
      <c r="F5" s="224" t="s">
        <v>642</v>
      </c>
      <c r="G5" s="116">
        <v>20</v>
      </c>
      <c r="H5" s="106" t="s">
        <v>468</v>
      </c>
      <c r="I5" s="104"/>
      <c r="J5" s="106">
        <v>30</v>
      </c>
      <c r="K5" s="115">
        <v>30</v>
      </c>
      <c r="L5" s="220" t="s">
        <v>648</v>
      </c>
    </row>
    <row r="6" spans="6:13">
      <c r="F6" s="225" t="s">
        <v>46</v>
      </c>
      <c r="G6" s="116">
        <v>21</v>
      </c>
      <c r="H6" s="92" t="s">
        <v>469</v>
      </c>
      <c r="I6" s="2"/>
      <c r="J6" s="92">
        <v>29</v>
      </c>
      <c r="K6" s="115">
        <v>29</v>
      </c>
      <c r="L6" s="221" t="s">
        <v>46</v>
      </c>
    </row>
    <row r="7" spans="6:13">
      <c r="F7" s="226" t="s">
        <v>430</v>
      </c>
      <c r="G7" s="116">
        <v>22</v>
      </c>
      <c r="H7" s="92" t="s">
        <v>470</v>
      </c>
      <c r="I7" s="2"/>
      <c r="J7" s="92">
        <v>28</v>
      </c>
      <c r="K7" s="115">
        <v>28</v>
      </c>
      <c r="L7" s="222" t="s">
        <v>413</v>
      </c>
      <c r="M7" t="s">
        <v>656</v>
      </c>
    </row>
    <row r="8" spans="6:13">
      <c r="F8" s="227" t="s">
        <v>643</v>
      </c>
      <c r="G8" s="116">
        <v>23</v>
      </c>
      <c r="H8" s="92" t="s">
        <v>471</v>
      </c>
      <c r="I8" s="2"/>
      <c r="J8" s="92">
        <v>27</v>
      </c>
      <c r="K8" s="115">
        <v>27</v>
      </c>
      <c r="L8" s="222" t="s">
        <v>412</v>
      </c>
    </row>
    <row r="9" spans="6:13">
      <c r="F9" s="226" t="s">
        <v>644</v>
      </c>
      <c r="G9" s="116">
        <v>24</v>
      </c>
      <c r="H9" s="92" t="s">
        <v>472</v>
      </c>
      <c r="I9" s="2"/>
      <c r="J9" s="92">
        <v>26</v>
      </c>
      <c r="K9" s="115">
        <v>26</v>
      </c>
      <c r="L9" s="222" t="s">
        <v>411</v>
      </c>
      <c r="M9" t="s">
        <v>655</v>
      </c>
    </row>
    <row r="10" spans="6:13">
      <c r="F10" s="226" t="s">
        <v>426</v>
      </c>
      <c r="G10" s="116">
        <v>25</v>
      </c>
      <c r="H10" s="92" t="s">
        <v>473</v>
      </c>
      <c r="I10" s="2"/>
      <c r="J10" s="92">
        <v>25</v>
      </c>
      <c r="K10" s="115">
        <v>25</v>
      </c>
      <c r="L10" s="222" t="s">
        <v>410</v>
      </c>
      <c r="M10" t="s">
        <v>654</v>
      </c>
    </row>
    <row r="11" spans="6:13">
      <c r="F11" s="226" t="s">
        <v>425</v>
      </c>
      <c r="G11" s="116">
        <v>26</v>
      </c>
      <c r="H11" s="92" t="s">
        <v>474</v>
      </c>
      <c r="I11" s="2"/>
      <c r="J11" s="92">
        <v>24</v>
      </c>
      <c r="K11" s="115">
        <v>24</v>
      </c>
      <c r="L11" s="222" t="s">
        <v>409</v>
      </c>
      <c r="M11" t="s">
        <v>653</v>
      </c>
    </row>
    <row r="12" spans="6:13">
      <c r="F12" s="227" t="s">
        <v>645</v>
      </c>
      <c r="G12" s="116">
        <v>27</v>
      </c>
      <c r="H12" s="92" t="s">
        <v>475</v>
      </c>
      <c r="I12" s="2"/>
      <c r="J12" s="92">
        <v>23</v>
      </c>
      <c r="K12" s="115">
        <v>23</v>
      </c>
      <c r="L12" s="222" t="s">
        <v>408</v>
      </c>
      <c r="M12" t="s">
        <v>652</v>
      </c>
    </row>
    <row r="13" spans="6:13">
      <c r="F13" s="227" t="s">
        <v>423</v>
      </c>
      <c r="G13" s="116">
        <v>28</v>
      </c>
      <c r="H13" s="92" t="s">
        <v>476</v>
      </c>
      <c r="I13" s="2"/>
      <c r="J13" s="92">
        <v>22</v>
      </c>
      <c r="K13" s="115">
        <v>22</v>
      </c>
      <c r="L13" s="222" t="s">
        <v>407</v>
      </c>
      <c r="M13" t="s">
        <v>651</v>
      </c>
    </row>
    <row r="14" spans="6:13">
      <c r="F14" s="226" t="s">
        <v>422</v>
      </c>
      <c r="G14" s="116">
        <v>29</v>
      </c>
      <c r="H14" s="92" t="s">
        <v>477</v>
      </c>
      <c r="I14" s="2"/>
      <c r="J14" s="92">
        <v>21</v>
      </c>
      <c r="K14" s="115">
        <v>21</v>
      </c>
      <c r="L14" s="222" t="s">
        <v>406</v>
      </c>
      <c r="M14" t="s">
        <v>650</v>
      </c>
    </row>
    <row r="15" spans="6:13">
      <c r="F15" s="227" t="s">
        <v>421</v>
      </c>
      <c r="G15" s="116">
        <v>30</v>
      </c>
      <c r="H15" s="92" t="s">
        <v>478</v>
      </c>
      <c r="I15" s="2"/>
      <c r="J15" s="92">
        <v>20</v>
      </c>
      <c r="K15" s="115">
        <v>20</v>
      </c>
      <c r="L15" s="222" t="s">
        <v>405</v>
      </c>
    </row>
    <row r="16" spans="6:13">
      <c r="F16" s="227" t="s">
        <v>646</v>
      </c>
      <c r="G16" s="116">
        <v>31</v>
      </c>
      <c r="H16" s="92" t="s">
        <v>479</v>
      </c>
      <c r="I16" s="2"/>
      <c r="J16" s="92">
        <v>19</v>
      </c>
      <c r="K16" s="115">
        <v>19</v>
      </c>
      <c r="L16" s="222" t="s">
        <v>404</v>
      </c>
    </row>
    <row r="17" spans="6:12">
      <c r="F17" s="228" t="s">
        <v>647</v>
      </c>
      <c r="G17" s="116">
        <v>32</v>
      </c>
      <c r="H17" s="92" t="s">
        <v>480</v>
      </c>
      <c r="I17" s="2"/>
      <c r="J17" s="92">
        <v>18</v>
      </c>
      <c r="K17" s="115">
        <v>18</v>
      </c>
      <c r="L17" s="222" t="s">
        <v>403</v>
      </c>
    </row>
    <row r="18" spans="6:12">
      <c r="F18" s="229" t="s">
        <v>418</v>
      </c>
      <c r="G18" s="116">
        <v>33</v>
      </c>
      <c r="H18" s="92" t="s">
        <v>481</v>
      </c>
      <c r="I18" s="2"/>
      <c r="J18" s="92">
        <v>17</v>
      </c>
      <c r="K18" s="115">
        <v>17</v>
      </c>
      <c r="L18" s="222" t="s">
        <v>402</v>
      </c>
    </row>
    <row r="19" spans="6:12">
      <c r="F19" s="226" t="s">
        <v>417</v>
      </c>
      <c r="G19" s="116">
        <v>34</v>
      </c>
      <c r="H19" s="218" t="s">
        <v>482</v>
      </c>
      <c r="I19" s="105"/>
      <c r="J19" s="219">
        <v>17</v>
      </c>
      <c r="K19" s="115">
        <v>16</v>
      </c>
      <c r="L19" s="223" t="s">
        <v>649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5776-B0C0-4F00-8646-E5A68AC227BA}">
  <dimension ref="B1:R23"/>
  <sheetViews>
    <sheetView topLeftCell="A5" workbookViewId="0">
      <selection activeCell="J3" sqref="J3:R22"/>
    </sheetView>
  </sheetViews>
  <sheetFormatPr defaultRowHeight="15"/>
  <cols>
    <col min="2" max="2" width="3.28515625" bestFit="1" customWidth="1"/>
    <col min="4" max="4" width="3" bestFit="1" customWidth="1"/>
    <col min="5" max="5" width="8.28515625" bestFit="1" customWidth="1"/>
    <col min="6" max="6" width="3" bestFit="1" customWidth="1"/>
    <col min="8" max="8" width="3.28515625" bestFit="1" customWidth="1"/>
    <col min="10" max="10" width="10" bestFit="1" customWidth="1"/>
    <col min="12" max="12" width="3" bestFit="1" customWidth="1"/>
    <col min="13" max="13" width="4.7109375" style="2" bestFit="1" customWidth="1"/>
    <col min="14" max="14" width="5" bestFit="1" customWidth="1"/>
    <col min="15" max="15" width="4.7109375" bestFit="1" customWidth="1"/>
    <col min="16" max="16" width="3" bestFit="1" customWidth="1"/>
  </cols>
  <sheetData>
    <row r="1" spans="2:18">
      <c r="C1" s="344" t="s">
        <v>436</v>
      </c>
      <c r="D1" s="344"/>
      <c r="E1" s="344"/>
      <c r="F1" s="344"/>
      <c r="G1" s="344"/>
    </row>
    <row r="2" spans="2:18">
      <c r="E2" s="2"/>
    </row>
    <row r="3" spans="2:18">
      <c r="E3" s="2" t="s">
        <v>435</v>
      </c>
      <c r="M3"/>
      <c r="N3" s="137" t="s">
        <v>434</v>
      </c>
      <c r="O3" s="2"/>
    </row>
    <row r="4" spans="2:18">
      <c r="B4" s="93">
        <v>1</v>
      </c>
      <c r="C4" s="89" t="s">
        <v>400</v>
      </c>
      <c r="D4" s="94">
        <v>1</v>
      </c>
      <c r="E4" s="95"/>
      <c r="F4" s="96">
        <v>38</v>
      </c>
      <c r="G4" s="91" t="s">
        <v>46</v>
      </c>
      <c r="H4" s="92">
        <v>1</v>
      </c>
      <c r="J4" s="136" t="s">
        <v>525</v>
      </c>
      <c r="K4" s="109" t="s">
        <v>437</v>
      </c>
      <c r="L4" s="116">
        <v>20</v>
      </c>
      <c r="M4" s="106" t="s">
        <v>468</v>
      </c>
      <c r="N4" s="104"/>
      <c r="O4" s="106" t="s">
        <v>468</v>
      </c>
      <c r="P4" s="115">
        <v>19</v>
      </c>
      <c r="Q4" s="103" t="s">
        <v>451</v>
      </c>
      <c r="R4" s="136"/>
    </row>
    <row r="5" spans="2:18">
      <c r="B5" s="93">
        <v>2</v>
      </c>
      <c r="C5" s="40" t="s">
        <v>401</v>
      </c>
      <c r="D5" s="97">
        <v>2</v>
      </c>
      <c r="E5" s="86"/>
      <c r="F5" s="98">
        <v>37</v>
      </c>
      <c r="G5" t="s">
        <v>417</v>
      </c>
      <c r="H5" s="92">
        <v>2</v>
      </c>
      <c r="J5" s="136" t="s">
        <v>526</v>
      </c>
      <c r="K5" s="109" t="s">
        <v>438</v>
      </c>
      <c r="L5" s="116">
        <v>21</v>
      </c>
      <c r="M5" s="92" t="s">
        <v>469</v>
      </c>
      <c r="N5" s="2"/>
      <c r="O5" s="92" t="s">
        <v>469</v>
      </c>
      <c r="P5" s="115">
        <v>18</v>
      </c>
      <c r="Q5" s="112" t="s">
        <v>452</v>
      </c>
      <c r="R5" s="136" t="s">
        <v>518</v>
      </c>
    </row>
    <row r="6" spans="2:18">
      <c r="B6" s="93">
        <v>3</v>
      </c>
      <c r="C6" s="40" t="s">
        <v>402</v>
      </c>
      <c r="D6" s="97">
        <v>3</v>
      </c>
      <c r="E6" s="86"/>
      <c r="F6" s="98">
        <v>36</v>
      </c>
      <c r="G6" t="s">
        <v>418</v>
      </c>
      <c r="H6" s="92">
        <v>3</v>
      </c>
      <c r="J6" s="136" t="s">
        <v>527</v>
      </c>
      <c r="K6" s="109" t="s">
        <v>439</v>
      </c>
      <c r="L6" s="116">
        <v>22</v>
      </c>
      <c r="M6" s="92" t="s">
        <v>470</v>
      </c>
      <c r="N6" s="2"/>
      <c r="O6" s="92" t="s">
        <v>470</v>
      </c>
      <c r="P6" s="115">
        <v>17</v>
      </c>
      <c r="Q6" s="112" t="s">
        <v>453</v>
      </c>
      <c r="R6" s="136" t="s">
        <v>520</v>
      </c>
    </row>
    <row r="7" spans="2:18">
      <c r="B7" s="93">
        <v>4</v>
      </c>
      <c r="C7" s="40" t="s">
        <v>403</v>
      </c>
      <c r="D7" s="97">
        <v>4</v>
      </c>
      <c r="E7" s="86"/>
      <c r="F7" s="98">
        <v>35</v>
      </c>
      <c r="G7" t="s">
        <v>419</v>
      </c>
      <c r="H7" s="92">
        <v>4</v>
      </c>
      <c r="J7" s="136" t="s">
        <v>528</v>
      </c>
      <c r="K7" s="111" t="s">
        <v>440</v>
      </c>
      <c r="L7" s="116">
        <v>23</v>
      </c>
      <c r="M7" s="92" t="s">
        <v>471</v>
      </c>
      <c r="N7" s="2"/>
      <c r="O7" s="92" t="s">
        <v>471</v>
      </c>
      <c r="P7" s="115">
        <v>16</v>
      </c>
      <c r="Q7" s="110" t="s">
        <v>454</v>
      </c>
      <c r="R7" s="136" t="s">
        <v>522</v>
      </c>
    </row>
    <row r="8" spans="2:18">
      <c r="B8" s="93">
        <v>5</v>
      </c>
      <c r="C8" s="40" t="s">
        <v>404</v>
      </c>
      <c r="D8" s="97">
        <v>5</v>
      </c>
      <c r="E8" s="86"/>
      <c r="F8" s="98">
        <v>34</v>
      </c>
      <c r="G8" t="s">
        <v>420</v>
      </c>
      <c r="H8" s="92">
        <v>5</v>
      </c>
      <c r="J8" s="136" t="s">
        <v>529</v>
      </c>
      <c r="K8" s="109" t="s">
        <v>441</v>
      </c>
      <c r="L8" s="116">
        <v>24</v>
      </c>
      <c r="M8" s="92" t="s">
        <v>472</v>
      </c>
      <c r="N8" s="2"/>
      <c r="O8" s="92" t="s">
        <v>472</v>
      </c>
      <c r="P8" s="115">
        <v>15</v>
      </c>
      <c r="Q8" s="112" t="s">
        <v>394</v>
      </c>
      <c r="R8" s="136" t="s">
        <v>523</v>
      </c>
    </row>
    <row r="9" spans="2:18">
      <c r="B9" s="93">
        <v>6</v>
      </c>
      <c r="C9" s="40" t="s">
        <v>405</v>
      </c>
      <c r="D9" s="97">
        <v>6</v>
      </c>
      <c r="E9" s="86"/>
      <c r="F9" s="98">
        <v>33</v>
      </c>
      <c r="G9" t="s">
        <v>421</v>
      </c>
      <c r="H9" s="92">
        <v>6</v>
      </c>
      <c r="J9" s="136" t="s">
        <v>519</v>
      </c>
      <c r="K9" s="109" t="s">
        <v>442</v>
      </c>
      <c r="L9" s="116">
        <v>25</v>
      </c>
      <c r="M9" s="92" t="s">
        <v>473</v>
      </c>
      <c r="N9" s="2"/>
      <c r="O9" s="92" t="s">
        <v>473</v>
      </c>
      <c r="P9" s="115">
        <v>14</v>
      </c>
      <c r="Q9" s="103" t="s">
        <v>313</v>
      </c>
      <c r="R9" s="136"/>
    </row>
    <row r="10" spans="2:18">
      <c r="B10" s="93">
        <v>7</v>
      </c>
      <c r="C10" s="40" t="s">
        <v>406</v>
      </c>
      <c r="D10" s="97">
        <v>7</v>
      </c>
      <c r="E10" s="86"/>
      <c r="F10" s="98">
        <v>32</v>
      </c>
      <c r="G10" s="91" t="s">
        <v>46</v>
      </c>
      <c r="H10" s="92">
        <v>7</v>
      </c>
      <c r="J10" s="136" t="s">
        <v>530</v>
      </c>
      <c r="K10" s="109" t="s">
        <v>443</v>
      </c>
      <c r="L10" s="116">
        <v>26</v>
      </c>
      <c r="M10" s="92" t="s">
        <v>474</v>
      </c>
      <c r="N10" s="2"/>
      <c r="O10" s="92" t="s">
        <v>474</v>
      </c>
      <c r="P10" s="115">
        <v>13</v>
      </c>
      <c r="Q10" s="112" t="s">
        <v>395</v>
      </c>
      <c r="R10" s="136" t="s">
        <v>524</v>
      </c>
    </row>
    <row r="11" spans="2:18">
      <c r="B11" s="93">
        <v>8</v>
      </c>
      <c r="C11" s="40" t="s">
        <v>407</v>
      </c>
      <c r="D11" s="97">
        <v>8</v>
      </c>
      <c r="E11" s="86"/>
      <c r="F11" s="98">
        <v>31</v>
      </c>
      <c r="G11" t="s">
        <v>422</v>
      </c>
      <c r="H11" s="92">
        <v>8</v>
      </c>
      <c r="J11" s="136" t="s">
        <v>531</v>
      </c>
      <c r="K11" s="111" t="s">
        <v>387</v>
      </c>
      <c r="L11" s="116">
        <v>27</v>
      </c>
      <c r="M11" s="92" t="s">
        <v>475</v>
      </c>
      <c r="N11" s="2"/>
      <c r="O11" s="92" t="s">
        <v>475</v>
      </c>
      <c r="P11" s="115">
        <v>12</v>
      </c>
      <c r="Q11" s="112" t="s">
        <v>396</v>
      </c>
      <c r="R11" s="136" t="s">
        <v>517</v>
      </c>
    </row>
    <row r="12" spans="2:18">
      <c r="B12" s="93">
        <v>9</v>
      </c>
      <c r="C12" s="40" t="s">
        <v>408</v>
      </c>
      <c r="D12" s="97">
        <v>9</v>
      </c>
      <c r="E12" s="86"/>
      <c r="F12" s="98">
        <v>30</v>
      </c>
      <c r="G12" t="s">
        <v>423</v>
      </c>
      <c r="H12" s="92">
        <v>9</v>
      </c>
      <c r="J12" s="136" t="s">
        <v>521</v>
      </c>
      <c r="K12" s="111" t="s">
        <v>444</v>
      </c>
      <c r="L12" s="116">
        <v>28</v>
      </c>
      <c r="M12" s="92" t="s">
        <v>476</v>
      </c>
      <c r="N12" s="2"/>
      <c r="O12" s="92" t="s">
        <v>476</v>
      </c>
      <c r="P12" s="115">
        <v>11</v>
      </c>
      <c r="Q12" s="114" t="s">
        <v>397</v>
      </c>
      <c r="R12" s="136" t="s">
        <v>516</v>
      </c>
    </row>
    <row r="13" spans="2:18">
      <c r="B13" s="93">
        <v>10</v>
      </c>
      <c r="C13" s="40" t="s">
        <v>409</v>
      </c>
      <c r="D13" s="97">
        <v>10</v>
      </c>
      <c r="E13" s="86"/>
      <c r="F13" s="98">
        <v>29</v>
      </c>
      <c r="G13" t="s">
        <v>424</v>
      </c>
      <c r="H13" s="92">
        <v>10</v>
      </c>
      <c r="J13" s="136" t="s">
        <v>532</v>
      </c>
      <c r="K13" s="109" t="s">
        <v>445</v>
      </c>
      <c r="L13" s="116">
        <v>29</v>
      </c>
      <c r="M13" s="92" t="s">
        <v>477</v>
      </c>
      <c r="N13" s="2"/>
      <c r="O13" s="92" t="s">
        <v>477</v>
      </c>
      <c r="P13" s="115">
        <v>10</v>
      </c>
      <c r="Q13" s="114" t="s">
        <v>455</v>
      </c>
      <c r="R13" s="136" t="s">
        <v>515</v>
      </c>
    </row>
    <row r="14" spans="2:18">
      <c r="B14" s="93">
        <v>11</v>
      </c>
      <c r="C14" s="40" t="s">
        <v>410</v>
      </c>
      <c r="D14" s="97">
        <v>11</v>
      </c>
      <c r="E14" s="86"/>
      <c r="F14" s="98">
        <v>28</v>
      </c>
      <c r="G14" t="s">
        <v>425</v>
      </c>
      <c r="H14" s="92">
        <v>11</v>
      </c>
      <c r="J14" s="136" t="s">
        <v>533</v>
      </c>
      <c r="K14" s="111" t="s">
        <v>398</v>
      </c>
      <c r="L14" s="116">
        <v>30</v>
      </c>
      <c r="M14" s="92" t="s">
        <v>478</v>
      </c>
      <c r="N14" s="2"/>
      <c r="O14" s="92" t="s">
        <v>478</v>
      </c>
      <c r="P14" s="115">
        <v>9</v>
      </c>
      <c r="Q14" s="114" t="s">
        <v>456</v>
      </c>
      <c r="R14" s="136" t="s">
        <v>514</v>
      </c>
    </row>
    <row r="15" spans="2:18">
      <c r="B15" s="93">
        <v>12</v>
      </c>
      <c r="C15" s="40" t="s">
        <v>411</v>
      </c>
      <c r="D15" s="97">
        <v>12</v>
      </c>
      <c r="E15" s="86"/>
      <c r="F15" s="98">
        <v>27</v>
      </c>
      <c r="G15" t="s">
        <v>426</v>
      </c>
      <c r="H15" s="92">
        <v>12</v>
      </c>
      <c r="J15" s="136" t="s">
        <v>534</v>
      </c>
      <c r="K15" s="111" t="s">
        <v>446</v>
      </c>
      <c r="L15" s="116">
        <v>31</v>
      </c>
      <c r="M15" s="92" t="s">
        <v>479</v>
      </c>
      <c r="N15" s="2"/>
      <c r="O15" s="92" t="s">
        <v>479</v>
      </c>
      <c r="P15" s="115">
        <v>8</v>
      </c>
      <c r="Q15" t="s">
        <v>457</v>
      </c>
      <c r="R15" s="136" t="s">
        <v>513</v>
      </c>
    </row>
    <row r="16" spans="2:18">
      <c r="B16" s="93">
        <v>13</v>
      </c>
      <c r="C16" s="40" t="s">
        <v>412</v>
      </c>
      <c r="D16" s="97">
        <v>13</v>
      </c>
      <c r="E16" s="86"/>
      <c r="F16" s="98">
        <v>26</v>
      </c>
      <c r="G16" t="s">
        <v>427</v>
      </c>
      <c r="H16" s="92">
        <v>13</v>
      </c>
      <c r="J16" s="136"/>
      <c r="K16" s="102" t="s">
        <v>313</v>
      </c>
      <c r="L16" s="116">
        <v>32</v>
      </c>
      <c r="M16" s="92" t="s">
        <v>480</v>
      </c>
      <c r="N16" s="2"/>
      <c r="O16" s="92" t="s">
        <v>480</v>
      </c>
      <c r="P16" s="115">
        <v>7</v>
      </c>
      <c r="Q16" t="s">
        <v>458</v>
      </c>
      <c r="R16" s="136" t="s">
        <v>512</v>
      </c>
    </row>
    <row r="17" spans="2:18">
      <c r="B17" s="93">
        <v>14</v>
      </c>
      <c r="C17" s="90" t="s">
        <v>46</v>
      </c>
      <c r="D17" s="97">
        <v>14</v>
      </c>
      <c r="E17" s="86"/>
      <c r="F17" s="98">
        <v>25</v>
      </c>
      <c r="G17" t="s">
        <v>428</v>
      </c>
      <c r="H17" s="92">
        <v>14</v>
      </c>
      <c r="J17" s="136" t="s">
        <v>498</v>
      </c>
      <c r="K17" s="113" t="s">
        <v>447</v>
      </c>
      <c r="L17" s="116">
        <v>33</v>
      </c>
      <c r="M17" s="92" t="s">
        <v>481</v>
      </c>
      <c r="N17" s="2"/>
      <c r="O17" s="92" t="s">
        <v>481</v>
      </c>
      <c r="P17" s="115">
        <v>6</v>
      </c>
      <c r="Q17" t="s">
        <v>459</v>
      </c>
      <c r="R17" s="136" t="s">
        <v>511</v>
      </c>
    </row>
    <row r="18" spans="2:18">
      <c r="B18" s="93">
        <v>15</v>
      </c>
      <c r="C18" s="40" t="s">
        <v>413</v>
      </c>
      <c r="D18" s="97">
        <v>15</v>
      </c>
      <c r="E18" s="86"/>
      <c r="F18" s="98">
        <v>24</v>
      </c>
      <c r="G18" t="s">
        <v>429</v>
      </c>
      <c r="H18" s="92">
        <v>15</v>
      </c>
      <c r="J18" s="136" t="s">
        <v>535</v>
      </c>
      <c r="K18" s="109" t="s">
        <v>448</v>
      </c>
      <c r="L18" s="116">
        <v>34</v>
      </c>
      <c r="M18" s="92" t="s">
        <v>482</v>
      </c>
      <c r="N18" s="2"/>
      <c r="O18" s="92" t="s">
        <v>482</v>
      </c>
      <c r="P18" s="115">
        <v>5</v>
      </c>
      <c r="Q18" t="s">
        <v>460</v>
      </c>
      <c r="R18" s="136" t="s">
        <v>510</v>
      </c>
    </row>
    <row r="19" spans="2:18">
      <c r="B19" s="93">
        <v>16</v>
      </c>
      <c r="C19" s="40" t="s">
        <v>414</v>
      </c>
      <c r="D19" s="97">
        <v>16</v>
      </c>
      <c r="E19" s="86"/>
      <c r="F19" s="98">
        <v>23</v>
      </c>
      <c r="G19" t="s">
        <v>430</v>
      </c>
      <c r="H19" s="92">
        <v>16</v>
      </c>
      <c r="J19" s="136" t="s">
        <v>536</v>
      </c>
      <c r="K19" s="109" t="s">
        <v>449</v>
      </c>
      <c r="L19" s="116">
        <v>35</v>
      </c>
      <c r="M19" s="92" t="s">
        <v>483</v>
      </c>
      <c r="N19" s="2"/>
      <c r="O19" s="92" t="s">
        <v>483</v>
      </c>
      <c r="P19" s="115">
        <v>4</v>
      </c>
      <c r="Q19" t="s">
        <v>461</v>
      </c>
      <c r="R19" s="136" t="s">
        <v>509</v>
      </c>
    </row>
    <row r="20" spans="2:18">
      <c r="B20" s="93">
        <v>17</v>
      </c>
      <c r="C20" s="40" t="s">
        <v>415</v>
      </c>
      <c r="D20" s="97">
        <v>17</v>
      </c>
      <c r="E20" s="86"/>
      <c r="F20" s="98">
        <v>22</v>
      </c>
      <c r="G20" t="s">
        <v>431</v>
      </c>
      <c r="H20" s="92">
        <v>17</v>
      </c>
      <c r="J20" s="136" t="s">
        <v>537</v>
      </c>
      <c r="K20" s="113" t="s">
        <v>450</v>
      </c>
      <c r="L20" s="116">
        <v>36</v>
      </c>
      <c r="M20" s="92" t="s">
        <v>484</v>
      </c>
      <c r="N20" s="2"/>
      <c r="O20" s="92" t="s">
        <v>484</v>
      </c>
      <c r="P20" s="115">
        <v>3</v>
      </c>
      <c r="Q20" t="s">
        <v>462</v>
      </c>
      <c r="R20" s="136" t="s">
        <v>508</v>
      </c>
    </row>
    <row r="21" spans="2:18">
      <c r="B21" s="93">
        <v>18</v>
      </c>
      <c r="C21" s="40" t="s">
        <v>416</v>
      </c>
      <c r="D21" s="97">
        <v>18</v>
      </c>
      <c r="E21" s="86"/>
      <c r="F21" s="98">
        <v>21</v>
      </c>
      <c r="G21" t="s">
        <v>432</v>
      </c>
      <c r="H21" s="92">
        <v>18</v>
      </c>
      <c r="J21" s="136" t="s">
        <v>538</v>
      </c>
      <c r="K21" s="113" t="s">
        <v>399</v>
      </c>
      <c r="L21" s="116">
        <v>37</v>
      </c>
      <c r="M21" s="92" t="s">
        <v>486</v>
      </c>
      <c r="N21" s="2"/>
      <c r="O21" s="92" t="s">
        <v>486</v>
      </c>
      <c r="P21" s="115">
        <v>2</v>
      </c>
      <c r="Q21" s="1" t="s">
        <v>463</v>
      </c>
      <c r="R21" s="136"/>
    </row>
    <row r="22" spans="2:18">
      <c r="B22" s="93">
        <v>19</v>
      </c>
      <c r="C22" s="88" t="s">
        <v>0</v>
      </c>
      <c r="D22" s="99">
        <v>19</v>
      </c>
      <c r="E22" s="100"/>
      <c r="F22" s="101">
        <v>20</v>
      </c>
      <c r="G22" t="s">
        <v>433</v>
      </c>
      <c r="H22" s="92">
        <v>19</v>
      </c>
      <c r="J22" s="136"/>
      <c r="K22" s="102" t="s">
        <v>313</v>
      </c>
      <c r="L22" s="116">
        <v>38</v>
      </c>
      <c r="M22" s="107" t="s">
        <v>485</v>
      </c>
      <c r="N22" s="105" t="s">
        <v>465</v>
      </c>
      <c r="O22" s="107" t="s">
        <v>485</v>
      </c>
      <c r="P22" s="115">
        <v>1</v>
      </c>
      <c r="Q22" s="103" t="s">
        <v>464</v>
      </c>
      <c r="R22" s="136"/>
    </row>
    <row r="23" spans="2:18">
      <c r="E23" s="2" t="s">
        <v>434</v>
      </c>
    </row>
  </sheetData>
  <mergeCells count="1">
    <mergeCell ref="C1:G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C24AD-7440-4CD8-83A4-E2E51FD8B910}">
  <sheetPr>
    <pageSetUpPr fitToPage="1"/>
  </sheetPr>
  <dimension ref="B1:AF41"/>
  <sheetViews>
    <sheetView topLeftCell="B1" zoomScale="160" zoomScaleNormal="160" workbookViewId="0">
      <selection activeCell="K32" sqref="K32"/>
    </sheetView>
  </sheetViews>
  <sheetFormatPr defaultRowHeight="15"/>
  <cols>
    <col min="1" max="1" width="8.5703125" customWidth="1"/>
    <col min="3" max="3" width="8" bestFit="1" customWidth="1"/>
    <col min="4" max="4" width="10" bestFit="1" customWidth="1"/>
    <col min="5" max="5" width="7.42578125" bestFit="1" customWidth="1"/>
    <col min="6" max="6" width="6" bestFit="1" customWidth="1"/>
    <col min="7" max="7" width="7.7109375" customWidth="1"/>
    <col min="8" max="8" width="6.42578125" customWidth="1"/>
    <col min="9" max="9" width="8" bestFit="1" customWidth="1"/>
    <col min="10" max="10" width="9" bestFit="1" customWidth="1"/>
    <col min="11" max="11" width="8.5703125" bestFit="1" customWidth="1"/>
    <col min="12" max="12" width="10.140625" bestFit="1" customWidth="1"/>
    <col min="14" max="14" width="3" bestFit="1" customWidth="1"/>
    <col min="15" max="15" width="1.7109375" customWidth="1"/>
    <col min="17" max="17" width="3" bestFit="1" customWidth="1"/>
    <col min="20" max="20" width="9.140625" style="40"/>
    <col min="21" max="21" width="7" bestFit="1" customWidth="1"/>
    <col min="23" max="23" width="3" bestFit="1" customWidth="1"/>
    <col min="24" max="24" width="4.7109375" bestFit="1" customWidth="1"/>
    <col min="25" max="25" width="8.28515625" style="2" bestFit="1" customWidth="1"/>
    <col min="26" max="26" width="4.7109375" style="2" bestFit="1" customWidth="1"/>
    <col min="27" max="27" width="3" bestFit="1" customWidth="1"/>
    <col min="29" max="29" width="7.42578125" bestFit="1" customWidth="1"/>
    <col min="34" max="34" width="3" bestFit="1" customWidth="1"/>
  </cols>
  <sheetData>
    <row r="1" spans="2:32">
      <c r="B1" s="40"/>
      <c r="H1" s="137" t="s">
        <v>434</v>
      </c>
      <c r="I1" s="2"/>
      <c r="N1" s="108"/>
      <c r="T1"/>
    </row>
    <row r="2" spans="2:32">
      <c r="B2" s="40"/>
      <c r="D2" s="136" t="s">
        <v>525</v>
      </c>
      <c r="E2" s="109" t="s">
        <v>437</v>
      </c>
      <c r="F2" s="116">
        <v>20</v>
      </c>
      <c r="G2" s="106" t="s">
        <v>468</v>
      </c>
      <c r="H2" s="104"/>
      <c r="I2" s="106" t="s">
        <v>468</v>
      </c>
      <c r="J2" s="115">
        <v>19</v>
      </c>
      <c r="K2" s="103" t="s">
        <v>451</v>
      </c>
      <c r="L2" s="136"/>
      <c r="T2"/>
    </row>
    <row r="3" spans="2:32">
      <c r="B3" s="40"/>
      <c r="D3" s="136" t="s">
        <v>526</v>
      </c>
      <c r="E3" s="109" t="s">
        <v>438</v>
      </c>
      <c r="F3" s="116">
        <v>21</v>
      </c>
      <c r="G3" s="92" t="s">
        <v>469</v>
      </c>
      <c r="H3" s="2"/>
      <c r="I3" s="92" t="s">
        <v>469</v>
      </c>
      <c r="J3" s="115">
        <v>18</v>
      </c>
      <c r="K3" s="112" t="s">
        <v>452</v>
      </c>
      <c r="L3" s="136" t="s">
        <v>518</v>
      </c>
      <c r="T3"/>
    </row>
    <row r="4" spans="2:32">
      <c r="B4" s="40"/>
      <c r="D4" s="136" t="s">
        <v>527</v>
      </c>
      <c r="E4" s="109" t="s">
        <v>439</v>
      </c>
      <c r="F4" s="116">
        <v>22</v>
      </c>
      <c r="G4" s="92" t="s">
        <v>470</v>
      </c>
      <c r="H4" s="2"/>
      <c r="I4" s="92" t="s">
        <v>470</v>
      </c>
      <c r="J4" s="115">
        <v>17</v>
      </c>
      <c r="K4" s="112" t="s">
        <v>453</v>
      </c>
      <c r="L4" s="136" t="s">
        <v>520</v>
      </c>
      <c r="T4"/>
    </row>
    <row r="5" spans="2:32">
      <c r="D5" s="136" t="s">
        <v>528</v>
      </c>
      <c r="E5" s="111" t="s">
        <v>440</v>
      </c>
      <c r="F5" s="116">
        <v>23</v>
      </c>
      <c r="G5" s="92" t="s">
        <v>471</v>
      </c>
      <c r="H5" s="2"/>
      <c r="I5" s="92" t="s">
        <v>471</v>
      </c>
      <c r="J5" s="115">
        <v>16</v>
      </c>
      <c r="K5" s="110" t="s">
        <v>454</v>
      </c>
      <c r="L5" s="136" t="s">
        <v>522</v>
      </c>
      <c r="T5"/>
    </row>
    <row r="6" spans="2:32">
      <c r="B6" s="40"/>
      <c r="D6" s="136" t="s">
        <v>529</v>
      </c>
      <c r="E6" s="109" t="s">
        <v>441</v>
      </c>
      <c r="F6" s="116">
        <v>24</v>
      </c>
      <c r="G6" s="92" t="s">
        <v>472</v>
      </c>
      <c r="H6" s="2"/>
      <c r="I6" s="92" t="s">
        <v>472</v>
      </c>
      <c r="J6" s="115">
        <v>15</v>
      </c>
      <c r="K6" s="112" t="s">
        <v>394</v>
      </c>
      <c r="L6" s="136" t="s">
        <v>523</v>
      </c>
      <c r="T6"/>
    </row>
    <row r="7" spans="2:32">
      <c r="B7" s="40"/>
      <c r="D7" s="136" t="s">
        <v>519</v>
      </c>
      <c r="E7" s="109" t="s">
        <v>442</v>
      </c>
      <c r="F7" s="116">
        <v>25</v>
      </c>
      <c r="G7" s="92" t="s">
        <v>473</v>
      </c>
      <c r="H7" s="2"/>
      <c r="I7" s="92" t="s">
        <v>473</v>
      </c>
      <c r="J7" s="115">
        <v>14</v>
      </c>
      <c r="K7" s="103" t="s">
        <v>313</v>
      </c>
      <c r="L7" s="136"/>
      <c r="T7"/>
    </row>
    <row r="8" spans="2:32">
      <c r="B8" s="40" t="s">
        <v>390</v>
      </c>
      <c r="C8" s="84" t="s">
        <v>388</v>
      </c>
      <c r="D8" s="136" t="s">
        <v>530</v>
      </c>
      <c r="E8" s="109" t="s">
        <v>443</v>
      </c>
      <c r="F8" s="116">
        <v>26</v>
      </c>
      <c r="G8" s="92" t="s">
        <v>474</v>
      </c>
      <c r="H8" s="2"/>
      <c r="I8" s="92" t="s">
        <v>474</v>
      </c>
      <c r="J8" s="115">
        <v>13</v>
      </c>
      <c r="K8" s="112" t="s">
        <v>395</v>
      </c>
      <c r="L8" s="136" t="s">
        <v>524</v>
      </c>
      <c r="T8"/>
    </row>
    <row r="9" spans="2:32">
      <c r="B9" s="40" t="s">
        <v>391</v>
      </c>
      <c r="C9" s="84" t="s">
        <v>389</v>
      </c>
      <c r="D9" s="136" t="s">
        <v>531</v>
      </c>
      <c r="E9" s="111" t="s">
        <v>387</v>
      </c>
      <c r="F9" s="116">
        <v>27</v>
      </c>
      <c r="G9" s="92" t="s">
        <v>475</v>
      </c>
      <c r="H9" s="2"/>
      <c r="I9" s="92" t="s">
        <v>475</v>
      </c>
      <c r="J9" s="115">
        <v>12</v>
      </c>
      <c r="K9" s="112" t="s">
        <v>396</v>
      </c>
      <c r="L9" s="136" t="s">
        <v>517</v>
      </c>
      <c r="T9"/>
    </row>
    <row r="10" spans="2:32">
      <c r="B10" s="40" t="s">
        <v>392</v>
      </c>
      <c r="C10" s="84" t="s">
        <v>316</v>
      </c>
      <c r="D10" s="136" t="s">
        <v>521</v>
      </c>
      <c r="E10" s="111" t="s">
        <v>444</v>
      </c>
      <c r="F10" s="116">
        <v>28</v>
      </c>
      <c r="G10" s="92" t="s">
        <v>476</v>
      </c>
      <c r="H10" s="2"/>
      <c r="I10" s="92" t="s">
        <v>476</v>
      </c>
      <c r="J10" s="115">
        <v>11</v>
      </c>
      <c r="K10" s="114" t="s">
        <v>397</v>
      </c>
      <c r="L10" s="136" t="s">
        <v>516</v>
      </c>
      <c r="T10"/>
    </row>
    <row r="11" spans="2:32">
      <c r="B11" s="40" t="s">
        <v>318</v>
      </c>
      <c r="C11" s="84" t="s">
        <v>315</v>
      </c>
      <c r="D11" s="199" t="s">
        <v>532</v>
      </c>
      <c r="E11" s="109" t="s">
        <v>445</v>
      </c>
      <c r="F11" s="116">
        <v>29</v>
      </c>
      <c r="G11" s="92" t="s">
        <v>477</v>
      </c>
      <c r="H11" s="2"/>
      <c r="I11" s="92" t="s">
        <v>477</v>
      </c>
      <c r="J11" s="115">
        <v>10</v>
      </c>
      <c r="K11" s="114" t="s">
        <v>455</v>
      </c>
      <c r="L11" s="136" t="s">
        <v>515</v>
      </c>
      <c r="T11"/>
    </row>
    <row r="12" spans="2:32">
      <c r="B12" s="40" t="s">
        <v>319</v>
      </c>
      <c r="C12" s="84" t="s">
        <v>467</v>
      </c>
      <c r="D12" s="199" t="s">
        <v>533</v>
      </c>
      <c r="E12" s="111" t="s">
        <v>398</v>
      </c>
      <c r="F12" s="116">
        <v>30</v>
      </c>
      <c r="G12" s="92" t="s">
        <v>478</v>
      </c>
      <c r="H12" s="2"/>
      <c r="I12" s="92" t="s">
        <v>478</v>
      </c>
      <c r="J12" s="115">
        <v>9</v>
      </c>
      <c r="K12" s="114" t="s">
        <v>456</v>
      </c>
      <c r="L12" s="136" t="s">
        <v>514</v>
      </c>
      <c r="T12"/>
    </row>
    <row r="13" spans="2:32">
      <c r="B13" s="40"/>
      <c r="D13" s="199" t="s">
        <v>534</v>
      </c>
      <c r="E13" s="111" t="s">
        <v>446</v>
      </c>
      <c r="F13" s="116">
        <v>31</v>
      </c>
      <c r="G13" s="92" t="s">
        <v>479</v>
      </c>
      <c r="H13" s="2"/>
      <c r="I13" s="92" t="s">
        <v>479</v>
      </c>
      <c r="J13" s="115">
        <v>8</v>
      </c>
      <c r="K13" t="s">
        <v>457</v>
      </c>
      <c r="L13" s="136" t="s">
        <v>513</v>
      </c>
      <c r="T13"/>
      <c r="AF13" s="108"/>
    </row>
    <row r="14" spans="2:32">
      <c r="B14" s="40"/>
      <c r="D14" s="136"/>
      <c r="E14" s="102" t="s">
        <v>313</v>
      </c>
      <c r="F14" s="116">
        <v>32</v>
      </c>
      <c r="G14" s="92" t="s">
        <v>480</v>
      </c>
      <c r="H14" s="2"/>
      <c r="I14" s="92" t="s">
        <v>480</v>
      </c>
      <c r="J14" s="115">
        <v>7</v>
      </c>
      <c r="K14" t="s">
        <v>458</v>
      </c>
      <c r="L14" s="136" t="s">
        <v>512</v>
      </c>
      <c r="T14"/>
      <c r="AF14" s="108"/>
    </row>
    <row r="15" spans="2:32">
      <c r="B15" s="40"/>
      <c r="C15" s="1" t="s">
        <v>632</v>
      </c>
      <c r="D15" s="136" t="s">
        <v>498</v>
      </c>
      <c r="E15" s="113" t="s">
        <v>447</v>
      </c>
      <c r="F15" s="116">
        <v>33</v>
      </c>
      <c r="G15" s="92" t="s">
        <v>481</v>
      </c>
      <c r="H15" s="2"/>
      <c r="I15" s="92" t="s">
        <v>481</v>
      </c>
      <c r="J15" s="115">
        <v>6</v>
      </c>
      <c r="K15" t="s">
        <v>459</v>
      </c>
      <c r="L15" s="136" t="s">
        <v>511</v>
      </c>
      <c r="T15"/>
      <c r="AF15" s="108"/>
    </row>
    <row r="16" spans="2:32">
      <c r="B16" s="40"/>
      <c r="D16" s="136" t="s">
        <v>535</v>
      </c>
      <c r="E16" s="109" t="s">
        <v>448</v>
      </c>
      <c r="F16" s="116">
        <v>34</v>
      </c>
      <c r="G16" s="92" t="s">
        <v>482</v>
      </c>
      <c r="H16" s="2"/>
      <c r="I16" s="92" t="s">
        <v>482</v>
      </c>
      <c r="J16" s="115">
        <v>5</v>
      </c>
      <c r="K16" t="s">
        <v>460</v>
      </c>
      <c r="L16" s="136" t="s">
        <v>510</v>
      </c>
      <c r="T16"/>
      <c r="AF16" s="108"/>
    </row>
    <row r="17" spans="2:32">
      <c r="B17" s="40"/>
      <c r="C17" s="1" t="s">
        <v>632</v>
      </c>
      <c r="D17" s="136" t="s">
        <v>536</v>
      </c>
      <c r="E17" s="109" t="s">
        <v>449</v>
      </c>
      <c r="F17" s="116">
        <v>35</v>
      </c>
      <c r="G17" s="92" t="s">
        <v>483</v>
      </c>
      <c r="H17" s="2"/>
      <c r="I17" s="92" t="s">
        <v>483</v>
      </c>
      <c r="J17" s="115">
        <v>4</v>
      </c>
      <c r="K17" t="s">
        <v>461</v>
      </c>
      <c r="L17" s="136" t="s">
        <v>509</v>
      </c>
      <c r="T17"/>
      <c r="AF17" s="108"/>
    </row>
    <row r="18" spans="2:32">
      <c r="B18" s="40" t="s">
        <v>317</v>
      </c>
      <c r="C18" s="84" t="s">
        <v>40</v>
      </c>
      <c r="D18" s="136" t="s">
        <v>537</v>
      </c>
      <c r="E18" s="113" t="s">
        <v>450</v>
      </c>
      <c r="F18" s="116">
        <v>36</v>
      </c>
      <c r="G18" s="92" t="s">
        <v>484</v>
      </c>
      <c r="H18" s="2"/>
      <c r="I18" s="92" t="s">
        <v>484</v>
      </c>
      <c r="J18" s="115">
        <v>3</v>
      </c>
      <c r="K18" t="s">
        <v>462</v>
      </c>
      <c r="L18" s="136" t="s">
        <v>508</v>
      </c>
      <c r="T18"/>
    </row>
    <row r="19" spans="2:32">
      <c r="B19" s="40" t="s">
        <v>393</v>
      </c>
      <c r="C19" s="84" t="s">
        <v>466</v>
      </c>
      <c r="D19" s="199" t="s">
        <v>538</v>
      </c>
      <c r="E19" s="113" t="s">
        <v>399</v>
      </c>
      <c r="F19" s="116">
        <v>37</v>
      </c>
      <c r="G19" s="92" t="s">
        <v>486</v>
      </c>
      <c r="H19" s="2"/>
      <c r="I19" s="92" t="s">
        <v>486</v>
      </c>
      <c r="J19" s="115">
        <v>2</v>
      </c>
      <c r="K19" s="1" t="s">
        <v>463</v>
      </c>
      <c r="L19" s="136"/>
      <c r="T19"/>
    </row>
    <row r="20" spans="2:32">
      <c r="B20" s="40"/>
      <c r="D20" s="136"/>
      <c r="E20" s="102" t="s">
        <v>313</v>
      </c>
      <c r="F20" s="116">
        <v>38</v>
      </c>
      <c r="G20" s="107" t="s">
        <v>485</v>
      </c>
      <c r="H20" s="105" t="s">
        <v>465</v>
      </c>
      <c r="I20" s="107" t="s">
        <v>485</v>
      </c>
      <c r="J20" s="115">
        <v>1</v>
      </c>
      <c r="K20" s="103" t="s">
        <v>464</v>
      </c>
      <c r="L20" s="136"/>
      <c r="T20"/>
    </row>
    <row r="21" spans="2:32">
      <c r="B21" s="199"/>
      <c r="D21" s="40"/>
      <c r="E21" s="85"/>
      <c r="F21" s="85"/>
      <c r="G21" s="86"/>
      <c r="H21" s="86"/>
      <c r="I21" s="87"/>
      <c r="T21"/>
    </row>
    <row r="24" spans="2:32">
      <c r="E24" s="3"/>
      <c r="F24" s="3"/>
      <c r="G24" s="194" t="s">
        <v>434</v>
      </c>
      <c r="H24" s="3"/>
      <c r="I24" s="3"/>
      <c r="J24" s="3"/>
      <c r="S24" s="40"/>
      <c r="T24"/>
      <c r="X24" s="2"/>
      <c r="Z24"/>
    </row>
    <row r="25" spans="2:32">
      <c r="E25" s="199" t="s">
        <v>634</v>
      </c>
      <c r="F25" s="215" t="s">
        <v>626</v>
      </c>
      <c r="G25" s="345" t="s">
        <v>608</v>
      </c>
      <c r="H25" s="210" t="s">
        <v>0</v>
      </c>
      <c r="I25" s="3"/>
      <c r="R25" s="40"/>
      <c r="T25"/>
      <c r="W25" s="2"/>
      <c r="X25" s="2"/>
      <c r="Y25"/>
      <c r="Z25"/>
    </row>
    <row r="26" spans="2:32">
      <c r="C26" s="208" t="s">
        <v>393</v>
      </c>
      <c r="D26" s="209" t="s">
        <v>466</v>
      </c>
      <c r="E26" s="199" t="s">
        <v>314</v>
      </c>
      <c r="F26" s="216" t="s">
        <v>627</v>
      </c>
      <c r="G26" s="334"/>
      <c r="H26" s="211" t="s">
        <v>40</v>
      </c>
      <c r="I26" s="3"/>
      <c r="J26" s="208" t="s">
        <v>32</v>
      </c>
      <c r="R26" s="40"/>
      <c r="T26"/>
      <c r="W26" s="2"/>
      <c r="X26" s="2"/>
      <c r="Y26"/>
      <c r="Z26"/>
    </row>
    <row r="27" spans="2:32">
      <c r="C27" s="208" t="s">
        <v>318</v>
      </c>
      <c r="D27" s="209" t="s">
        <v>315</v>
      </c>
      <c r="E27" s="199" t="s">
        <v>635</v>
      </c>
      <c r="F27" s="216" t="s">
        <v>628</v>
      </c>
      <c r="G27" s="334"/>
      <c r="H27" s="212" t="s">
        <v>400</v>
      </c>
      <c r="I27" s="3"/>
      <c r="J27" s="208" t="s">
        <v>641</v>
      </c>
      <c r="R27" s="40"/>
      <c r="T27"/>
      <c r="W27" s="2"/>
      <c r="X27" s="2"/>
      <c r="Y27"/>
      <c r="Z27"/>
    </row>
    <row r="28" spans="2:32">
      <c r="D28" t="s">
        <v>639</v>
      </c>
      <c r="E28" s="206" t="s">
        <v>636</v>
      </c>
      <c r="F28" s="216" t="s">
        <v>629</v>
      </c>
      <c r="G28" s="334"/>
      <c r="H28" s="213" t="s">
        <v>621</v>
      </c>
      <c r="I28" s="209" t="s">
        <v>467</v>
      </c>
      <c r="J28" s="208" t="s">
        <v>319</v>
      </c>
      <c r="K28" s="199" t="s">
        <v>633</v>
      </c>
      <c r="R28" s="40"/>
      <c r="T28"/>
      <c r="W28" s="2"/>
      <c r="X28" s="2"/>
      <c r="Y28"/>
      <c r="Z28"/>
    </row>
    <row r="29" spans="2:32">
      <c r="D29" t="s">
        <v>640</v>
      </c>
      <c r="E29" s="206" t="s">
        <v>537</v>
      </c>
      <c r="F29" s="216" t="s">
        <v>630</v>
      </c>
      <c r="G29" s="334"/>
      <c r="H29" s="213" t="s">
        <v>622</v>
      </c>
      <c r="I29" s="209" t="s">
        <v>388</v>
      </c>
      <c r="J29" s="208" t="s">
        <v>390</v>
      </c>
      <c r="R29" s="40"/>
      <c r="T29"/>
      <c r="W29" s="2"/>
      <c r="X29" s="2"/>
      <c r="Y29"/>
      <c r="Z29"/>
    </row>
    <row r="30" spans="2:32">
      <c r="E30" s="157"/>
      <c r="F30" s="216" t="s">
        <v>453</v>
      </c>
      <c r="G30" s="334"/>
      <c r="H30" s="213" t="s">
        <v>623</v>
      </c>
      <c r="I30" s="209" t="s">
        <v>389</v>
      </c>
      <c r="J30" s="208" t="s">
        <v>391</v>
      </c>
      <c r="R30" s="40"/>
      <c r="T30"/>
      <c r="W30" s="2"/>
      <c r="X30" s="2"/>
      <c r="Y30"/>
      <c r="Z30"/>
    </row>
    <row r="31" spans="2:32">
      <c r="E31" s="198" t="s">
        <v>637</v>
      </c>
      <c r="F31" s="216" t="s">
        <v>631</v>
      </c>
      <c r="G31" s="334"/>
      <c r="H31" s="213" t="s">
        <v>624</v>
      </c>
      <c r="I31" s="209" t="s">
        <v>316</v>
      </c>
      <c r="J31" s="208" t="s">
        <v>392</v>
      </c>
      <c r="R31" s="40"/>
      <c r="T31"/>
      <c r="W31" s="2"/>
      <c r="X31" s="2"/>
      <c r="Y31"/>
      <c r="Z31"/>
    </row>
    <row r="32" spans="2:32">
      <c r="E32" s="198" t="s">
        <v>638</v>
      </c>
      <c r="F32" s="217" t="s">
        <v>447</v>
      </c>
      <c r="G32" s="346"/>
      <c r="H32" s="214" t="s">
        <v>625</v>
      </c>
      <c r="I32" s="3"/>
      <c r="R32" s="40"/>
      <c r="T32"/>
      <c r="W32" s="2"/>
      <c r="X32" s="2"/>
      <c r="Y32"/>
      <c r="Z32"/>
    </row>
    <row r="35" spans="6:10">
      <c r="F35" s="30"/>
      <c r="G35" s="3"/>
      <c r="I35" s="3"/>
      <c r="J35" s="207"/>
    </row>
    <row r="36" spans="6:10">
      <c r="F36" s="30"/>
      <c r="G36" s="3"/>
    </row>
    <row r="37" spans="6:10">
      <c r="F37" s="30"/>
      <c r="G37" s="3"/>
    </row>
    <row r="38" spans="6:10">
      <c r="F38" s="30"/>
    </row>
    <row r="39" spans="6:10">
      <c r="F39" s="30"/>
    </row>
    <row r="40" spans="6:10">
      <c r="F40" s="30"/>
    </row>
    <row r="41" spans="6:10">
      <c r="F41" s="30"/>
    </row>
  </sheetData>
  <mergeCells count="1">
    <mergeCell ref="G25:G32"/>
  </mergeCells>
  <pageMargins left="0.7" right="0.7" top="0.75" bottom="0.75" header="0.3" footer="0.3"/>
  <pageSetup scale="9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69FE-5490-4AB2-AD8C-7B782E4BF1C7}">
  <dimension ref="A1:K13"/>
  <sheetViews>
    <sheetView tabSelected="1" zoomScale="190" zoomScaleNormal="190" workbookViewId="0">
      <selection activeCell="K6" sqref="K6:K8"/>
    </sheetView>
  </sheetViews>
  <sheetFormatPr defaultRowHeight="11.25"/>
  <cols>
    <col min="1" max="1" width="5" style="3" bestFit="1" customWidth="1"/>
    <col min="2" max="2" width="5" style="254" bestFit="1" customWidth="1"/>
    <col min="3" max="3" width="4.7109375" style="3" bestFit="1" customWidth="1"/>
    <col min="4" max="4" width="3.42578125" style="3" bestFit="1" customWidth="1"/>
    <col min="5" max="5" width="4.7109375" style="3" bestFit="1" customWidth="1"/>
    <col min="6" max="6" width="6.140625" style="3" bestFit="1" customWidth="1"/>
    <col min="7" max="7" width="4.7109375" style="3" bestFit="1" customWidth="1"/>
    <col min="8" max="8" width="3.42578125" style="3" bestFit="1" customWidth="1"/>
    <col min="9" max="9" width="4.7109375" style="3" bestFit="1" customWidth="1"/>
    <col min="10" max="10" width="3.42578125" style="3" bestFit="1" customWidth="1"/>
    <col min="11" max="11" width="6.140625" style="3" bestFit="1" customWidth="1"/>
    <col min="12" max="12" width="3.42578125" style="3" bestFit="1" customWidth="1"/>
    <col min="13" max="16384" width="9.140625" style="3"/>
  </cols>
  <sheetData>
    <row r="1" spans="1:11" s="255" customFormat="1" ht="8.25" customHeight="1">
      <c r="A1" s="348" t="s">
        <v>390</v>
      </c>
      <c r="B1" s="348" t="s">
        <v>667</v>
      </c>
      <c r="C1" s="348" t="s">
        <v>390</v>
      </c>
      <c r="E1" s="348" t="s">
        <v>390</v>
      </c>
      <c r="F1" s="348" t="s">
        <v>667</v>
      </c>
      <c r="G1" s="348" t="s">
        <v>390</v>
      </c>
      <c r="I1" s="255" t="s">
        <v>40</v>
      </c>
      <c r="K1" s="255" t="s">
        <v>40</v>
      </c>
    </row>
    <row r="2" spans="1:11" s="255" customFormat="1" ht="8.25" customHeight="1">
      <c r="A2" s="348" t="s">
        <v>665</v>
      </c>
      <c r="B2" s="348" t="s">
        <v>40</v>
      </c>
      <c r="C2" s="348" t="s">
        <v>665</v>
      </c>
      <c r="E2" s="348" t="s">
        <v>665</v>
      </c>
      <c r="F2" s="348" t="s">
        <v>40</v>
      </c>
      <c r="G2" s="348" t="s">
        <v>665</v>
      </c>
      <c r="I2" s="255" t="s">
        <v>667</v>
      </c>
      <c r="K2" s="255" t="s">
        <v>667</v>
      </c>
    </row>
    <row r="3" spans="1:11" s="255" customFormat="1" ht="8.25" customHeight="1">
      <c r="A3" s="348" t="s">
        <v>318</v>
      </c>
      <c r="B3" s="348" t="s">
        <v>658</v>
      </c>
      <c r="C3" s="348" t="s">
        <v>318</v>
      </c>
      <c r="E3" s="348" t="s">
        <v>318</v>
      </c>
      <c r="F3" s="348" t="s">
        <v>658</v>
      </c>
      <c r="G3" s="348" t="s">
        <v>318</v>
      </c>
      <c r="I3" s="255" t="s">
        <v>673</v>
      </c>
      <c r="K3" s="255" t="s">
        <v>673</v>
      </c>
    </row>
    <row r="4" spans="1:11" s="255" customFormat="1" ht="8.25" customHeight="1">
      <c r="A4" s="348" t="s">
        <v>317</v>
      </c>
      <c r="B4" s="348" t="s">
        <v>540</v>
      </c>
      <c r="C4" s="348" t="s">
        <v>317</v>
      </c>
      <c r="E4" s="348" t="s">
        <v>317</v>
      </c>
      <c r="F4" s="348" t="s">
        <v>540</v>
      </c>
      <c r="G4" s="348" t="s">
        <v>317</v>
      </c>
      <c r="I4" s="255" t="s">
        <v>673</v>
      </c>
      <c r="K4" s="255" t="s">
        <v>673</v>
      </c>
    </row>
    <row r="5" spans="1:11" s="255" customFormat="1" ht="8.25" customHeight="1">
      <c r="A5" s="348" t="s">
        <v>319</v>
      </c>
      <c r="B5" s="348" t="s">
        <v>672</v>
      </c>
      <c r="C5" s="348" t="s">
        <v>319</v>
      </c>
      <c r="E5" s="348" t="s">
        <v>319</v>
      </c>
      <c r="F5" s="348" t="s">
        <v>672</v>
      </c>
      <c r="G5" s="348" t="s">
        <v>319</v>
      </c>
    </row>
    <row r="6" spans="1:11" s="255" customFormat="1" ht="8.25" customHeight="1">
      <c r="A6" s="348" t="s">
        <v>392</v>
      </c>
      <c r="B6" s="348" t="s">
        <v>668</v>
      </c>
      <c r="C6" s="348" t="s">
        <v>392</v>
      </c>
      <c r="E6" s="348" t="s">
        <v>392</v>
      </c>
      <c r="F6" s="348" t="s">
        <v>668</v>
      </c>
      <c r="G6" s="348" t="s">
        <v>392</v>
      </c>
      <c r="K6" s="349" t="s">
        <v>658</v>
      </c>
    </row>
    <row r="7" spans="1:11" s="255" customFormat="1" ht="8.25" customHeight="1">
      <c r="A7" s="348" t="s">
        <v>393</v>
      </c>
      <c r="B7" s="348" t="s">
        <v>669</v>
      </c>
      <c r="C7" s="348" t="s">
        <v>393</v>
      </c>
      <c r="E7" s="348" t="s">
        <v>393</v>
      </c>
      <c r="F7" s="348" t="s">
        <v>669</v>
      </c>
      <c r="G7" s="348" t="s">
        <v>393</v>
      </c>
      <c r="K7" s="349" t="s">
        <v>540</v>
      </c>
    </row>
    <row r="8" spans="1:11" s="255" customFormat="1" ht="8.25" customHeight="1">
      <c r="A8" s="348" t="s">
        <v>391</v>
      </c>
      <c r="B8" s="348" t="s">
        <v>670</v>
      </c>
      <c r="C8" s="348" t="s">
        <v>391</v>
      </c>
      <c r="E8" s="348" t="s">
        <v>391</v>
      </c>
      <c r="F8" s="348" t="s">
        <v>670</v>
      </c>
      <c r="G8" s="348" t="s">
        <v>391</v>
      </c>
      <c r="K8" s="349" t="s">
        <v>672</v>
      </c>
    </row>
    <row r="9" spans="1:11" s="255" customFormat="1" ht="8.25" customHeight="1">
      <c r="A9" s="348" t="s">
        <v>666</v>
      </c>
      <c r="B9" s="348" t="s">
        <v>671</v>
      </c>
      <c r="C9" s="348" t="s">
        <v>666</v>
      </c>
      <c r="E9" s="348" t="s">
        <v>666</v>
      </c>
      <c r="F9" s="348" t="s">
        <v>671</v>
      </c>
      <c r="G9" s="348" t="s">
        <v>666</v>
      </c>
    </row>
    <row r="10" spans="1:11" s="255" customFormat="1" ht="8.25" customHeight="1">
      <c r="A10" s="350"/>
      <c r="B10" s="351"/>
      <c r="C10" s="350"/>
    </row>
    <row r="11" spans="1:11" s="255" customFormat="1" ht="8.25" customHeight="1">
      <c r="A11" s="352"/>
      <c r="B11" s="353"/>
      <c r="C11" s="352"/>
    </row>
    <row r="12" spans="1:11" s="255" customFormat="1" ht="8.25" customHeight="1">
      <c r="A12" s="352"/>
      <c r="B12" s="353"/>
      <c r="C12" s="352"/>
    </row>
    <row r="13" spans="1:11">
      <c r="A13" s="354"/>
      <c r="B13" s="355"/>
      <c r="C13" s="354"/>
    </row>
  </sheetData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6760A-9AF1-40DB-948A-459DDFEB3EFD}">
  <dimension ref="C3:K25"/>
  <sheetViews>
    <sheetView showGridLines="0" zoomScale="190" zoomScaleNormal="190" workbookViewId="0">
      <selection activeCell="B7" sqref="B7"/>
    </sheetView>
  </sheetViews>
  <sheetFormatPr defaultRowHeight="15"/>
  <cols>
    <col min="3" max="3" width="16.7109375" customWidth="1"/>
    <col min="4" max="4" width="1.28515625" customWidth="1"/>
    <col min="5" max="5" width="6.85546875" style="2" customWidth="1"/>
    <col min="6" max="6" width="5.7109375" style="2" bestFit="1" customWidth="1"/>
    <col min="7" max="7" width="2.85546875" style="2" customWidth="1"/>
    <col min="8" max="8" width="4.85546875" style="2" bestFit="1" customWidth="1"/>
    <col min="9" max="9" width="5.5703125" style="2" bestFit="1" customWidth="1"/>
    <col min="10" max="10" width="1.5703125" customWidth="1"/>
  </cols>
  <sheetData>
    <row r="3" spans="3:11" ht="24" customHeight="1" thickBot="1">
      <c r="C3" s="3"/>
      <c r="D3" s="3"/>
      <c r="E3" s="4"/>
      <c r="F3" s="4"/>
      <c r="G3" s="4"/>
      <c r="H3" s="4"/>
      <c r="I3" s="4"/>
      <c r="J3" s="3"/>
      <c r="K3" s="3"/>
    </row>
    <row r="4" spans="3:11" ht="10.5" customHeight="1">
      <c r="C4" s="3"/>
      <c r="D4" s="5"/>
      <c r="E4" s="6" t="s">
        <v>40</v>
      </c>
      <c r="F4" s="6"/>
      <c r="G4" s="6"/>
      <c r="H4" s="6" t="s">
        <v>41</v>
      </c>
      <c r="I4" s="6"/>
      <c r="J4" s="7"/>
      <c r="K4" s="3"/>
    </row>
    <row r="5" spans="3:11" ht="10.5" customHeight="1">
      <c r="C5" s="3"/>
      <c r="D5" s="8"/>
      <c r="E5" s="9" t="s">
        <v>32</v>
      </c>
      <c r="F5" s="9" t="s">
        <v>33</v>
      </c>
      <c r="G5" s="10"/>
      <c r="H5" s="11" t="s">
        <v>34</v>
      </c>
      <c r="I5" s="11" t="s">
        <v>35</v>
      </c>
      <c r="J5" s="12"/>
      <c r="K5" s="3"/>
    </row>
    <row r="6" spans="3:11" ht="10.5" customHeight="1">
      <c r="C6" s="3"/>
      <c r="D6" s="8"/>
      <c r="E6" s="13"/>
      <c r="F6" s="14"/>
      <c r="G6" s="14"/>
      <c r="H6" s="14"/>
      <c r="I6" s="15"/>
      <c r="J6" s="12"/>
      <c r="K6" s="3"/>
    </row>
    <row r="7" spans="3:11" ht="10.5" customHeight="1">
      <c r="C7" s="3"/>
      <c r="D7" s="8"/>
      <c r="E7" s="16" t="s">
        <v>36</v>
      </c>
      <c r="F7" s="16" t="s">
        <v>37</v>
      </c>
      <c r="G7" s="14"/>
      <c r="H7" s="17" t="s">
        <v>38</v>
      </c>
      <c r="I7" s="17" t="s">
        <v>39</v>
      </c>
      <c r="J7" s="12"/>
      <c r="K7" s="3"/>
    </row>
    <row r="8" spans="3:11" ht="10.5" customHeight="1">
      <c r="C8" s="3"/>
      <c r="D8" s="8"/>
      <c r="E8" s="18" t="s">
        <v>43</v>
      </c>
      <c r="F8" s="4"/>
      <c r="G8" s="19"/>
      <c r="H8" s="4"/>
      <c r="I8" s="18" t="s">
        <v>42</v>
      </c>
      <c r="J8" s="12"/>
      <c r="K8" s="3"/>
    </row>
    <row r="9" spans="3:11" ht="10.5" customHeight="1" thickBot="1">
      <c r="C9" s="3"/>
      <c r="D9" s="20"/>
      <c r="E9" s="21"/>
      <c r="F9" s="21"/>
      <c r="G9" s="21"/>
      <c r="H9" s="21"/>
      <c r="I9" s="21"/>
      <c r="J9" s="22"/>
      <c r="K9" s="3"/>
    </row>
    <row r="10" spans="3:11" ht="10.5" customHeight="1">
      <c r="C10" s="3"/>
      <c r="D10" s="3"/>
      <c r="E10" s="4"/>
      <c r="F10" s="4"/>
      <c r="G10" s="4"/>
      <c r="H10" s="4"/>
      <c r="I10" s="4"/>
      <c r="J10" s="3"/>
      <c r="K10" s="3"/>
    </row>
    <row r="11" spans="3:11" ht="10.5" customHeight="1" thickBot="1">
      <c r="C11" s="3"/>
      <c r="D11" s="3"/>
      <c r="E11" s="4"/>
      <c r="F11" s="4"/>
      <c r="G11" s="4"/>
      <c r="H11" s="4"/>
      <c r="I11" s="4"/>
      <c r="J11" s="3"/>
      <c r="K11" s="3"/>
    </row>
    <row r="12" spans="3:11" ht="10.5" customHeight="1">
      <c r="C12" s="3"/>
      <c r="D12" s="5"/>
      <c r="E12" s="6" t="s">
        <v>40</v>
      </c>
      <c r="F12" s="6"/>
      <c r="G12" s="6"/>
      <c r="H12" s="6" t="s">
        <v>41</v>
      </c>
      <c r="I12" s="6"/>
      <c r="J12" s="7"/>
      <c r="K12" s="3"/>
    </row>
    <row r="13" spans="3:11" ht="10.5" customHeight="1">
      <c r="C13" s="3"/>
      <c r="D13" s="8"/>
      <c r="E13" s="9" t="s">
        <v>32</v>
      </c>
      <c r="F13" s="9" t="s">
        <v>33</v>
      </c>
      <c r="G13" s="10"/>
      <c r="H13" s="11" t="s">
        <v>34</v>
      </c>
      <c r="I13" s="11" t="s">
        <v>35</v>
      </c>
      <c r="J13" s="12"/>
      <c r="K13" s="3"/>
    </row>
    <row r="14" spans="3:11" ht="10.5" customHeight="1">
      <c r="C14" s="3"/>
      <c r="D14" s="8"/>
      <c r="E14" s="13"/>
      <c r="F14" s="14"/>
      <c r="G14" s="14"/>
      <c r="H14" s="14"/>
      <c r="I14" s="15"/>
      <c r="J14" s="12"/>
      <c r="K14" s="3"/>
    </row>
    <row r="15" spans="3:11" ht="10.5" customHeight="1">
      <c r="C15" s="3"/>
      <c r="D15" s="8"/>
      <c r="E15" s="16" t="s">
        <v>36</v>
      </c>
      <c r="F15" s="16" t="s">
        <v>37</v>
      </c>
      <c r="G15" s="14"/>
      <c r="H15" s="17" t="s">
        <v>38</v>
      </c>
      <c r="I15" s="17" t="s">
        <v>39</v>
      </c>
      <c r="J15" s="12"/>
      <c r="K15" s="3"/>
    </row>
    <row r="16" spans="3:11" ht="10.5" customHeight="1">
      <c r="C16" s="3"/>
      <c r="D16" s="8"/>
      <c r="E16" s="18" t="s">
        <v>43</v>
      </c>
      <c r="F16" s="4"/>
      <c r="G16" s="19"/>
      <c r="H16" s="4"/>
      <c r="I16" s="18" t="s">
        <v>42</v>
      </c>
      <c r="J16" s="12"/>
      <c r="K16" s="3"/>
    </row>
    <row r="17" spans="3:11" ht="10.5" customHeight="1" thickBot="1">
      <c r="C17" s="3"/>
      <c r="D17" s="20"/>
      <c r="E17" s="21"/>
      <c r="F17" s="21"/>
      <c r="G17" s="21"/>
      <c r="H17" s="21"/>
      <c r="I17" s="21"/>
      <c r="J17" s="22"/>
      <c r="K17" s="3"/>
    </row>
    <row r="18" spans="3:11" ht="10.5" customHeight="1" thickBot="1">
      <c r="C18" s="3"/>
      <c r="D18" s="3"/>
      <c r="E18" s="4"/>
      <c r="F18" s="4"/>
      <c r="G18" s="4"/>
      <c r="H18" s="4"/>
      <c r="I18" s="4"/>
      <c r="J18" s="3"/>
      <c r="K18" s="3"/>
    </row>
    <row r="19" spans="3:11" ht="10.5" customHeight="1">
      <c r="C19" s="3"/>
      <c r="D19" s="5"/>
      <c r="E19" s="6" t="s">
        <v>40</v>
      </c>
      <c r="F19" s="6"/>
      <c r="G19" s="6"/>
      <c r="H19" s="6" t="s">
        <v>41</v>
      </c>
      <c r="I19" s="6"/>
      <c r="J19" s="7"/>
      <c r="K19" s="3"/>
    </row>
    <row r="20" spans="3:11" ht="10.5" customHeight="1">
      <c r="C20" s="3"/>
      <c r="D20" s="8"/>
      <c r="E20" s="9" t="s">
        <v>32</v>
      </c>
      <c r="F20" s="9" t="s">
        <v>33</v>
      </c>
      <c r="G20" s="10"/>
      <c r="H20" s="11" t="s">
        <v>34</v>
      </c>
      <c r="I20" s="11" t="s">
        <v>35</v>
      </c>
      <c r="J20" s="12"/>
      <c r="K20" s="3"/>
    </row>
    <row r="21" spans="3:11" ht="10.5" customHeight="1">
      <c r="C21" s="3"/>
      <c r="D21" s="8"/>
      <c r="E21" s="13"/>
      <c r="F21" s="14"/>
      <c r="G21" s="14"/>
      <c r="H21" s="14"/>
      <c r="I21" s="15"/>
      <c r="J21" s="12"/>
      <c r="K21" s="3"/>
    </row>
    <row r="22" spans="3:11" ht="10.5" customHeight="1">
      <c r="C22" s="3"/>
      <c r="D22" s="8"/>
      <c r="E22" s="16" t="s">
        <v>36</v>
      </c>
      <c r="F22" s="16" t="s">
        <v>37</v>
      </c>
      <c r="G22" s="14"/>
      <c r="H22" s="17" t="s">
        <v>38</v>
      </c>
      <c r="I22" s="17" t="s">
        <v>39</v>
      </c>
      <c r="J22" s="12"/>
      <c r="K22" s="3"/>
    </row>
    <row r="23" spans="3:11" ht="10.5" customHeight="1">
      <c r="C23" s="3"/>
      <c r="D23" s="8"/>
      <c r="E23" s="18" t="s">
        <v>43</v>
      </c>
      <c r="F23" s="4"/>
      <c r="G23" s="19"/>
      <c r="H23" s="4"/>
      <c r="I23" s="18" t="s">
        <v>42</v>
      </c>
      <c r="J23" s="12"/>
      <c r="K23" s="3"/>
    </row>
    <row r="24" spans="3:11" ht="10.5" customHeight="1" thickBot="1">
      <c r="C24" s="3"/>
      <c r="D24" s="20"/>
      <c r="E24" s="21"/>
      <c r="F24" s="21"/>
      <c r="G24" s="21"/>
      <c r="H24" s="21"/>
      <c r="I24" s="21"/>
      <c r="J24" s="22"/>
      <c r="K24" s="3"/>
    </row>
    <row r="25" spans="3:11">
      <c r="C25" s="3"/>
      <c r="D25" s="3"/>
      <c r="E25" s="4"/>
      <c r="F25" s="4"/>
      <c r="G25" s="4"/>
      <c r="H25" s="4"/>
      <c r="I25" s="4"/>
      <c r="J25" s="3"/>
      <c r="K25" s="3"/>
    </row>
  </sheetData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BF842-ADD4-4C25-B647-6DBDB959F079}">
  <dimension ref="A2:AF4"/>
  <sheetViews>
    <sheetView zoomScaleNormal="100" workbookViewId="0">
      <selection activeCell="M16" sqref="M16"/>
    </sheetView>
  </sheetViews>
  <sheetFormatPr defaultRowHeight="15"/>
  <cols>
    <col min="2" max="2" width="3.85546875" bestFit="1" customWidth="1"/>
    <col min="3" max="32" width="3.5703125" bestFit="1" customWidth="1"/>
  </cols>
  <sheetData>
    <row r="2" spans="1:32">
      <c r="A2" t="s">
        <v>52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</row>
    <row r="3" spans="1:32">
      <c r="A3" t="s">
        <v>53</v>
      </c>
      <c r="B3">
        <v>65</v>
      </c>
      <c r="C3">
        <f>B3+1</f>
        <v>66</v>
      </c>
      <c r="D3">
        <f t="shared" ref="D3:AF3" si="0">C3+1</f>
        <v>67</v>
      </c>
      <c r="E3">
        <f t="shared" si="0"/>
        <v>68</v>
      </c>
      <c r="F3">
        <f t="shared" si="0"/>
        <v>69</v>
      </c>
      <c r="G3">
        <f t="shared" si="0"/>
        <v>70</v>
      </c>
      <c r="H3">
        <f t="shared" si="0"/>
        <v>71</v>
      </c>
      <c r="I3">
        <f t="shared" si="0"/>
        <v>72</v>
      </c>
      <c r="J3">
        <f t="shared" si="0"/>
        <v>73</v>
      </c>
      <c r="K3">
        <f t="shared" si="0"/>
        <v>74</v>
      </c>
      <c r="L3">
        <f t="shared" si="0"/>
        <v>75</v>
      </c>
      <c r="M3">
        <f t="shared" si="0"/>
        <v>76</v>
      </c>
      <c r="N3">
        <f t="shared" si="0"/>
        <v>77</v>
      </c>
      <c r="O3">
        <f t="shared" si="0"/>
        <v>78</v>
      </c>
      <c r="P3">
        <f t="shared" si="0"/>
        <v>79</v>
      </c>
      <c r="Q3">
        <f t="shared" si="0"/>
        <v>80</v>
      </c>
      <c r="R3">
        <f t="shared" si="0"/>
        <v>81</v>
      </c>
      <c r="S3">
        <f t="shared" si="0"/>
        <v>82</v>
      </c>
      <c r="T3">
        <f t="shared" si="0"/>
        <v>83</v>
      </c>
      <c r="U3">
        <f t="shared" si="0"/>
        <v>84</v>
      </c>
      <c r="V3">
        <f t="shared" si="0"/>
        <v>85</v>
      </c>
      <c r="W3">
        <f t="shared" si="0"/>
        <v>86</v>
      </c>
      <c r="X3">
        <f t="shared" si="0"/>
        <v>87</v>
      </c>
      <c r="Y3">
        <f t="shared" si="0"/>
        <v>88</v>
      </c>
      <c r="Z3">
        <f t="shared" si="0"/>
        <v>89</v>
      </c>
      <c r="AA3">
        <f t="shared" si="0"/>
        <v>90</v>
      </c>
      <c r="AB3">
        <f t="shared" si="0"/>
        <v>91</v>
      </c>
      <c r="AC3">
        <f t="shared" si="0"/>
        <v>92</v>
      </c>
      <c r="AD3">
        <f t="shared" si="0"/>
        <v>93</v>
      </c>
      <c r="AE3">
        <f t="shared" si="0"/>
        <v>94</v>
      </c>
      <c r="AF3">
        <f t="shared" si="0"/>
        <v>95</v>
      </c>
    </row>
    <row r="4" spans="1:32">
      <c r="A4" t="s">
        <v>54</v>
      </c>
      <c r="B4" s="42" t="s">
        <v>51</v>
      </c>
      <c r="C4" s="42" t="str">
        <f>CHAR(C3)</f>
        <v>B</v>
      </c>
      <c r="D4" s="42" t="str">
        <f t="shared" ref="D4:AF4" si="1">CHAR(D3)</f>
        <v>C</v>
      </c>
      <c r="E4" s="42" t="str">
        <f t="shared" si="1"/>
        <v>D</v>
      </c>
      <c r="F4" s="42" t="str">
        <f t="shared" si="1"/>
        <v>E</v>
      </c>
      <c r="G4" s="42" t="str">
        <f t="shared" si="1"/>
        <v>F</v>
      </c>
      <c r="H4" s="42" t="str">
        <f t="shared" si="1"/>
        <v>G</v>
      </c>
      <c r="I4" s="42" t="str">
        <f t="shared" si="1"/>
        <v>H</v>
      </c>
      <c r="J4" s="42" t="str">
        <f t="shared" si="1"/>
        <v>I</v>
      </c>
      <c r="K4" s="42" t="str">
        <f t="shared" si="1"/>
        <v>J</v>
      </c>
      <c r="L4" s="42" t="str">
        <f t="shared" si="1"/>
        <v>K</v>
      </c>
      <c r="M4" s="42" t="str">
        <f t="shared" si="1"/>
        <v>L</v>
      </c>
      <c r="N4" s="42" t="str">
        <f t="shared" si="1"/>
        <v>M</v>
      </c>
      <c r="O4" s="42" t="str">
        <f t="shared" si="1"/>
        <v>N</v>
      </c>
      <c r="P4" s="42" t="str">
        <f t="shared" si="1"/>
        <v>O</v>
      </c>
      <c r="Q4" s="42" t="str">
        <f t="shared" si="1"/>
        <v>P</v>
      </c>
      <c r="R4" s="42" t="str">
        <f t="shared" si="1"/>
        <v>Q</v>
      </c>
      <c r="S4" s="42" t="str">
        <f t="shared" si="1"/>
        <v>R</v>
      </c>
      <c r="T4" s="42" t="str">
        <f t="shared" si="1"/>
        <v>S</v>
      </c>
      <c r="U4" s="42" t="str">
        <f t="shared" si="1"/>
        <v>T</v>
      </c>
      <c r="V4" s="42" t="str">
        <f t="shared" si="1"/>
        <v>U</v>
      </c>
      <c r="W4" s="42" t="str">
        <f t="shared" si="1"/>
        <v>V</v>
      </c>
      <c r="X4" s="42" t="str">
        <f t="shared" si="1"/>
        <v>W</v>
      </c>
      <c r="Y4" s="42" t="str">
        <f t="shared" si="1"/>
        <v>X</v>
      </c>
      <c r="Z4" s="42" t="str">
        <f t="shared" si="1"/>
        <v>Y</v>
      </c>
      <c r="AA4" s="42" t="str">
        <f t="shared" si="1"/>
        <v>Z</v>
      </c>
      <c r="AB4" s="42" t="str">
        <f t="shared" si="1"/>
        <v>[</v>
      </c>
      <c r="AC4" s="42" t="str">
        <f t="shared" si="1"/>
        <v>\</v>
      </c>
      <c r="AD4" s="42" t="str">
        <f t="shared" si="1"/>
        <v>]</v>
      </c>
      <c r="AE4" s="42" t="str">
        <f t="shared" si="1"/>
        <v>^</v>
      </c>
      <c r="AF4" s="42" t="str">
        <f t="shared" si="1"/>
        <v>_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47861-3D99-4A66-B0C1-048A06074F8C}">
  <dimension ref="A1:O22"/>
  <sheetViews>
    <sheetView workbookViewId="0">
      <selection activeCell="K10" sqref="K10"/>
    </sheetView>
  </sheetViews>
  <sheetFormatPr defaultRowHeight="15"/>
  <cols>
    <col min="1" max="1" width="14.7109375" style="3" bestFit="1" customWidth="1"/>
    <col min="2" max="2" width="7.42578125" style="3" customWidth="1"/>
    <col min="3" max="3" width="9.28515625" style="4" bestFit="1" customWidth="1"/>
    <col min="4" max="4" width="14.7109375" style="4" bestFit="1" customWidth="1"/>
    <col min="5" max="6" width="2.7109375" style="3" bestFit="1" customWidth="1"/>
    <col min="7" max="7" width="14" bestFit="1" customWidth="1"/>
    <col min="10" max="10" width="3.28515625" customWidth="1"/>
    <col min="11" max="11" width="22.5703125" customWidth="1"/>
    <col min="12" max="12" width="14.7109375" bestFit="1" customWidth="1"/>
    <col min="13" max="14" width="3" bestFit="1" customWidth="1"/>
    <col min="15" max="15" width="14" bestFit="1" customWidth="1"/>
  </cols>
  <sheetData>
    <row r="1" spans="1:15" s="1" customFormat="1">
      <c r="A1" s="29"/>
      <c r="B1" s="29"/>
      <c r="C1" s="34"/>
      <c r="D1" s="34"/>
      <c r="E1" s="29"/>
      <c r="F1" s="29"/>
    </row>
    <row r="2" spans="1:15" s="1" customFormat="1">
      <c r="A2" s="29"/>
      <c r="B2" s="29"/>
      <c r="C2" s="347" t="s">
        <v>48</v>
      </c>
      <c r="D2" s="347"/>
      <c r="E2" s="347"/>
      <c r="F2" s="347"/>
    </row>
    <row r="3" spans="1:15">
      <c r="B3" s="30"/>
      <c r="C3" s="35" t="s">
        <v>55</v>
      </c>
      <c r="D3" s="32" t="s">
        <v>15</v>
      </c>
      <c r="E3" s="36">
        <v>1</v>
      </c>
      <c r="F3" s="36">
        <v>2</v>
      </c>
      <c r="G3" s="33" t="s">
        <v>0</v>
      </c>
      <c r="H3" s="37" t="s">
        <v>0</v>
      </c>
      <c r="L3" s="32" t="s">
        <v>15</v>
      </c>
      <c r="M3" s="36">
        <v>1</v>
      </c>
      <c r="N3" s="36">
        <v>2</v>
      </c>
      <c r="O3" s="33" t="s">
        <v>0</v>
      </c>
    </row>
    <row r="4" spans="1:15">
      <c r="B4" s="30"/>
      <c r="C4" s="37"/>
      <c r="D4" s="27" t="s">
        <v>16</v>
      </c>
      <c r="E4" s="36">
        <v>3</v>
      </c>
      <c r="F4" s="36">
        <v>4</v>
      </c>
      <c r="G4" s="23" t="s">
        <v>0</v>
      </c>
      <c r="H4" s="37" t="s">
        <v>0</v>
      </c>
      <c r="K4" s="41" t="s">
        <v>50</v>
      </c>
      <c r="L4" s="27" t="s">
        <v>16</v>
      </c>
      <c r="M4" s="36">
        <v>3</v>
      </c>
      <c r="N4" s="36">
        <v>4</v>
      </c>
      <c r="O4" s="23" t="s">
        <v>0</v>
      </c>
    </row>
    <row r="5" spans="1:15">
      <c r="B5" s="30"/>
      <c r="C5" s="37"/>
      <c r="D5" s="27" t="s">
        <v>17</v>
      </c>
      <c r="E5" s="36">
        <v>5</v>
      </c>
      <c r="F5" s="36">
        <v>6</v>
      </c>
      <c r="G5" s="24" t="s">
        <v>1</v>
      </c>
      <c r="H5" s="37" t="s">
        <v>47</v>
      </c>
      <c r="K5" s="41" t="s">
        <v>49</v>
      </c>
      <c r="L5" s="27" t="s">
        <v>17</v>
      </c>
      <c r="M5" s="36">
        <v>5</v>
      </c>
      <c r="N5" s="36">
        <v>6</v>
      </c>
      <c r="O5" s="24" t="s">
        <v>1</v>
      </c>
    </row>
    <row r="6" spans="1:15">
      <c r="B6" s="30"/>
      <c r="C6" s="37"/>
      <c r="D6" s="27" t="s">
        <v>18</v>
      </c>
      <c r="E6" s="36">
        <v>7</v>
      </c>
      <c r="F6" s="36">
        <v>8</v>
      </c>
      <c r="G6" s="25" t="s">
        <v>2</v>
      </c>
      <c r="H6" s="37"/>
      <c r="K6" s="40"/>
      <c r="L6" s="27" t="s">
        <v>18</v>
      </c>
      <c r="M6" s="36">
        <v>7</v>
      </c>
      <c r="N6" s="36">
        <v>8</v>
      </c>
      <c r="O6" s="25" t="s">
        <v>2</v>
      </c>
    </row>
    <row r="7" spans="1:15">
      <c r="B7" s="31"/>
      <c r="C7" s="37"/>
      <c r="D7" s="28" t="s">
        <v>1</v>
      </c>
      <c r="E7" s="36">
        <v>9</v>
      </c>
      <c r="F7" s="36">
        <v>10</v>
      </c>
      <c r="G7" s="25" t="s">
        <v>3</v>
      </c>
      <c r="H7" s="39" t="s">
        <v>45</v>
      </c>
      <c r="L7" s="28" t="s">
        <v>1</v>
      </c>
      <c r="M7" s="36">
        <v>9</v>
      </c>
      <c r="N7" s="36">
        <v>10</v>
      </c>
      <c r="O7" s="25" t="s">
        <v>3</v>
      </c>
    </row>
    <row r="8" spans="1:15">
      <c r="B8" s="30"/>
      <c r="C8" s="39" t="s">
        <v>44</v>
      </c>
      <c r="D8" s="27" t="s">
        <v>19</v>
      </c>
      <c r="E8" s="36">
        <v>11</v>
      </c>
      <c r="F8" s="36">
        <v>12</v>
      </c>
      <c r="G8" s="25" t="s">
        <v>4</v>
      </c>
      <c r="H8" s="37" t="s">
        <v>58</v>
      </c>
      <c r="L8" s="27" t="s">
        <v>19</v>
      </c>
      <c r="M8" s="36">
        <v>11</v>
      </c>
      <c r="N8" s="36">
        <v>12</v>
      </c>
      <c r="O8" s="25" t="s">
        <v>4</v>
      </c>
    </row>
    <row r="9" spans="1:15">
      <c r="B9" s="30"/>
      <c r="C9" s="38" t="s">
        <v>31</v>
      </c>
      <c r="D9" s="27" t="s">
        <v>20</v>
      </c>
      <c r="E9" s="36">
        <v>13</v>
      </c>
      <c r="F9" s="36">
        <v>14</v>
      </c>
      <c r="G9" s="24" t="s">
        <v>1</v>
      </c>
      <c r="H9" s="37" t="s">
        <v>46</v>
      </c>
      <c r="L9" s="27" t="s">
        <v>20</v>
      </c>
      <c r="M9" s="36">
        <v>13</v>
      </c>
      <c r="N9" s="36">
        <v>14</v>
      </c>
      <c r="O9" s="24" t="s">
        <v>1</v>
      </c>
    </row>
    <row r="10" spans="1:15">
      <c r="B10" s="30"/>
      <c r="C10" s="37"/>
      <c r="D10" s="27" t="s">
        <v>21</v>
      </c>
      <c r="E10" s="36">
        <v>15</v>
      </c>
      <c r="F10" s="36">
        <v>16</v>
      </c>
      <c r="G10" s="25" t="s">
        <v>5</v>
      </c>
      <c r="H10" s="37"/>
      <c r="L10" s="27" t="s">
        <v>21</v>
      </c>
      <c r="M10" s="36">
        <v>15</v>
      </c>
      <c r="N10" s="36">
        <v>16</v>
      </c>
      <c r="O10" s="25" t="s">
        <v>5</v>
      </c>
    </row>
    <row r="11" spans="1:15">
      <c r="B11" s="30"/>
      <c r="C11" s="37" t="s">
        <v>15</v>
      </c>
      <c r="D11" s="26" t="s">
        <v>15</v>
      </c>
      <c r="E11" s="36">
        <v>17</v>
      </c>
      <c r="F11" s="36">
        <v>18</v>
      </c>
      <c r="G11" s="25" t="s">
        <v>6</v>
      </c>
      <c r="H11" s="37"/>
      <c r="L11" s="26" t="s">
        <v>15</v>
      </c>
      <c r="M11" s="36">
        <v>17</v>
      </c>
      <c r="N11" s="36">
        <v>18</v>
      </c>
      <c r="O11" s="25" t="s">
        <v>6</v>
      </c>
    </row>
    <row r="12" spans="1:15">
      <c r="B12" s="30"/>
      <c r="C12" s="35" t="s">
        <v>56</v>
      </c>
      <c r="D12" s="27" t="s">
        <v>22</v>
      </c>
      <c r="E12" s="36">
        <v>19</v>
      </c>
      <c r="F12" s="36">
        <v>20</v>
      </c>
      <c r="G12" s="24" t="s">
        <v>1</v>
      </c>
      <c r="H12" s="37" t="s">
        <v>46</v>
      </c>
      <c r="L12" s="27" t="s">
        <v>22</v>
      </c>
      <c r="M12" s="36">
        <v>19</v>
      </c>
      <c r="N12" s="36">
        <v>20</v>
      </c>
      <c r="O12" s="24" t="s">
        <v>1</v>
      </c>
    </row>
    <row r="13" spans="1:15">
      <c r="B13" s="30"/>
      <c r="C13" s="37"/>
      <c r="D13" s="27" t="s">
        <v>23</v>
      </c>
      <c r="E13" s="36">
        <v>21</v>
      </c>
      <c r="F13" s="36">
        <v>22</v>
      </c>
      <c r="G13" s="25" t="s">
        <v>7</v>
      </c>
      <c r="H13" s="35" t="s">
        <v>59</v>
      </c>
      <c r="L13" s="27" t="s">
        <v>23</v>
      </c>
      <c r="M13" s="36">
        <v>21</v>
      </c>
      <c r="N13" s="36">
        <v>22</v>
      </c>
      <c r="O13" s="25" t="s">
        <v>7</v>
      </c>
    </row>
    <row r="14" spans="1:15">
      <c r="B14" s="30"/>
      <c r="C14" s="37" t="s">
        <v>57</v>
      </c>
      <c r="D14" s="27" t="s">
        <v>24</v>
      </c>
      <c r="E14" s="36">
        <v>23</v>
      </c>
      <c r="F14" s="36">
        <v>24</v>
      </c>
      <c r="G14" s="25" t="s">
        <v>8</v>
      </c>
      <c r="H14" s="37" t="s">
        <v>60</v>
      </c>
      <c r="L14" s="27" t="s">
        <v>24</v>
      </c>
      <c r="M14" s="36">
        <v>23</v>
      </c>
      <c r="N14" s="36">
        <v>24</v>
      </c>
      <c r="O14" s="25" t="s">
        <v>8</v>
      </c>
    </row>
    <row r="15" spans="1:15">
      <c r="B15" s="31"/>
      <c r="C15" s="37" t="s">
        <v>46</v>
      </c>
      <c r="D15" s="28" t="s">
        <v>1</v>
      </c>
      <c r="E15" s="36">
        <v>25</v>
      </c>
      <c r="F15" s="36">
        <v>26</v>
      </c>
      <c r="G15" s="25" t="s">
        <v>9</v>
      </c>
      <c r="H15" s="37"/>
      <c r="L15" s="28" t="s">
        <v>1</v>
      </c>
      <c r="M15" s="36">
        <v>25</v>
      </c>
      <c r="N15" s="36">
        <v>26</v>
      </c>
      <c r="O15" s="25" t="s">
        <v>9</v>
      </c>
    </row>
    <row r="16" spans="1:15">
      <c r="B16" s="30"/>
      <c r="C16" s="37"/>
      <c r="D16" s="27" t="s">
        <v>25</v>
      </c>
      <c r="E16" s="36">
        <v>27</v>
      </c>
      <c r="F16" s="36">
        <v>28</v>
      </c>
      <c r="G16" s="25" t="s">
        <v>10</v>
      </c>
      <c r="H16" s="37"/>
      <c r="L16" s="27" t="s">
        <v>25</v>
      </c>
      <c r="M16" s="36">
        <v>27</v>
      </c>
      <c r="N16" s="36">
        <v>28</v>
      </c>
      <c r="O16" s="25" t="s">
        <v>10</v>
      </c>
    </row>
    <row r="17" spans="2:15">
      <c r="B17" s="30"/>
      <c r="C17" s="37"/>
      <c r="D17" s="27" t="s">
        <v>26</v>
      </c>
      <c r="E17" s="36">
        <v>29</v>
      </c>
      <c r="F17" s="36">
        <v>30</v>
      </c>
      <c r="G17" s="24" t="s">
        <v>1</v>
      </c>
      <c r="H17" s="37" t="s">
        <v>46</v>
      </c>
      <c r="L17" s="27" t="s">
        <v>26</v>
      </c>
      <c r="M17" s="36">
        <v>29</v>
      </c>
      <c r="N17" s="36">
        <v>30</v>
      </c>
      <c r="O17" s="24" t="s">
        <v>1</v>
      </c>
    </row>
    <row r="18" spans="2:15">
      <c r="B18" s="30"/>
      <c r="C18" s="37"/>
      <c r="D18" s="27" t="s">
        <v>27</v>
      </c>
      <c r="E18" s="36">
        <v>31</v>
      </c>
      <c r="F18" s="36">
        <v>32</v>
      </c>
      <c r="G18" s="25" t="s">
        <v>11</v>
      </c>
      <c r="H18" s="37"/>
      <c r="L18" s="27" t="s">
        <v>27</v>
      </c>
      <c r="M18" s="36">
        <v>31</v>
      </c>
      <c r="N18" s="36">
        <v>32</v>
      </c>
      <c r="O18" s="25" t="s">
        <v>11</v>
      </c>
    </row>
    <row r="19" spans="2:15">
      <c r="B19" s="30"/>
      <c r="C19" s="37"/>
      <c r="D19" s="27" t="s">
        <v>28</v>
      </c>
      <c r="E19" s="36">
        <v>33</v>
      </c>
      <c r="F19" s="36">
        <v>34</v>
      </c>
      <c r="G19" s="24" t="s">
        <v>1</v>
      </c>
      <c r="H19" s="37" t="s">
        <v>46</v>
      </c>
      <c r="L19" s="27" t="s">
        <v>28</v>
      </c>
      <c r="M19" s="36">
        <v>33</v>
      </c>
      <c r="N19" s="36">
        <v>34</v>
      </c>
      <c r="O19" s="24" t="s">
        <v>1</v>
      </c>
    </row>
    <row r="20" spans="2:15">
      <c r="B20" s="30"/>
      <c r="C20" s="37"/>
      <c r="D20" s="27" t="s">
        <v>29</v>
      </c>
      <c r="E20" s="36">
        <v>35</v>
      </c>
      <c r="F20" s="36">
        <v>36</v>
      </c>
      <c r="G20" s="25" t="s">
        <v>12</v>
      </c>
      <c r="H20" s="37"/>
      <c r="L20" s="27" t="s">
        <v>29</v>
      </c>
      <c r="M20" s="36">
        <v>35</v>
      </c>
      <c r="N20" s="36">
        <v>36</v>
      </c>
      <c r="O20" s="25" t="s">
        <v>12</v>
      </c>
    </row>
    <row r="21" spans="2:15">
      <c r="B21" s="30"/>
      <c r="C21" s="37"/>
      <c r="D21" s="27" t="s">
        <v>30</v>
      </c>
      <c r="E21" s="36">
        <v>37</v>
      </c>
      <c r="F21" s="36">
        <v>38</v>
      </c>
      <c r="G21" s="25" t="s">
        <v>13</v>
      </c>
      <c r="H21" s="37"/>
      <c r="L21" s="27" t="s">
        <v>30</v>
      </c>
      <c r="M21" s="36">
        <v>37</v>
      </c>
      <c r="N21" s="36">
        <v>38</v>
      </c>
      <c r="O21" s="25" t="s">
        <v>13</v>
      </c>
    </row>
    <row r="22" spans="2:15">
      <c r="B22" s="31"/>
      <c r="C22" s="37" t="s">
        <v>46</v>
      </c>
      <c r="D22" s="28" t="s">
        <v>1</v>
      </c>
      <c r="E22" s="36">
        <v>39</v>
      </c>
      <c r="F22" s="36">
        <v>40</v>
      </c>
      <c r="G22" s="25" t="s">
        <v>14</v>
      </c>
      <c r="H22" s="37"/>
      <c r="L22" s="28" t="s">
        <v>1</v>
      </c>
      <c r="M22" s="36">
        <v>39</v>
      </c>
      <c r="N22" s="36">
        <v>40</v>
      </c>
      <c r="O22" s="25" t="s">
        <v>14</v>
      </c>
    </row>
  </sheetData>
  <mergeCells count="1">
    <mergeCell ref="C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5</vt:i4>
      </vt:variant>
    </vt:vector>
  </HeadingPairs>
  <TitlesOfParts>
    <vt:vector size="20" baseType="lpstr">
      <vt:lpstr>ESP32-Roles</vt:lpstr>
      <vt:lpstr>esp32 label</vt:lpstr>
      <vt:lpstr>can-bus-ids used</vt:lpstr>
      <vt:lpstr>CanBusIDs</vt:lpstr>
      <vt:lpstr>ESP32-Mini</vt:lpstr>
      <vt:lpstr>ESP32 BodyStatusWriter</vt:lpstr>
      <vt:lpstr>ESP32 Fuel</vt:lpstr>
      <vt:lpstr>ESP Temp Gauge</vt:lpstr>
      <vt:lpstr>30pin ESP</vt:lpstr>
      <vt:lpstr>YeeKees ESP32 Pinout</vt:lpstr>
      <vt:lpstr>ePaperinout</vt:lpstr>
      <vt:lpstr>Todos</vt:lpstr>
      <vt:lpstr>RJ45-Servos</vt:lpstr>
      <vt:lpstr>Moon Phases</vt:lpstr>
      <vt:lpstr>Pi Pinout</vt:lpstr>
      <vt:lpstr>'ESP32 BodyStatusWriter'!Print_Area</vt:lpstr>
      <vt:lpstr>'esp32 label'!Print_Area</vt:lpstr>
      <vt:lpstr>'Pi Pinout'!Print_Area</vt:lpstr>
      <vt:lpstr>Todos!Print_Area</vt:lpstr>
      <vt:lpstr>'YeeKees ESP32 Pinout'!Print_Area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Anyone</dc:creator>
  <cp:lastModifiedBy>Michael Montana</cp:lastModifiedBy>
  <cp:lastPrinted>2026-03-14T15:52:29Z</cp:lastPrinted>
  <dcterms:created xsi:type="dcterms:W3CDTF">2023-04-27T16:26:19Z</dcterms:created>
  <dcterms:modified xsi:type="dcterms:W3CDTF">2026-03-14T17:05:48Z</dcterms:modified>
</cp:coreProperties>
</file>